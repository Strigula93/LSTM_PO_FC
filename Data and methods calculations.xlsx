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nimiskolchu-my.sharepoint.com/personal/peter_veres_uni-miskolc_hu/Documents/Egyetemi munka/Cikkek és előadások/2025/Mathematics BZ VP BÁ/Ágotanak küldve/"/>
    </mc:Choice>
  </mc:AlternateContent>
  <xr:revisionPtr revIDLastSave="0" documentId="8_{74A8005E-485E-482A-BC03-838C0406B8CD}" xr6:coauthVersionLast="47" xr6:coauthVersionMax="47" xr10:uidLastSave="{00000000-0000-0000-0000-000000000000}"/>
  <bookViews>
    <workbookView xWindow="28680" yWindow="-13095" windowWidth="25440" windowHeight="15270" xr2:uid="{00000000-000D-0000-FFFF-FFFF00000000}"/>
  </bookViews>
  <sheets>
    <sheet name="Methods and calculation" sheetId="1" r:id="rId1"/>
    <sheet name="Summary and comparion" sheetId="3" r:id="rId2"/>
    <sheet name="Normalised solutions" sheetId="2" r:id="rId3"/>
    <sheet name="Final Summary" sheetId="4" r:id="rId4"/>
  </sheets>
  <definedNames>
    <definedName name="solver_adj" localSheetId="0" hidden="1">'Methods and calculation'!$DU$55:$DV$55</definedName>
    <definedName name="solver_cvg" localSheetId="0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)</definedName>
    <definedName name="solver_drv" localSheetId="0" hidden="1">1</definedName>
    <definedName name="solver_eng" localSheetId="0" hidden="1">3</definedName>
    <definedName name="solver_est" localSheetId="0" hidden="1">1</definedName>
    <definedName name="solver_itr" localSheetId="0" hidden="1">2147483647</definedName>
    <definedName name="solver_lhs1" localSheetId="0" hidden="1">'Methods and calculation'!$DU$55:$DV$55</definedName>
    <definedName name="solver_lhs2" localSheetId="0" hidden="1">'Methods and calculation'!$DU$55:$DV$55</definedName>
    <definedName name="solver_mip" localSheetId="0" hidden="1">2147483647</definedName>
    <definedName name="solver_mni" localSheetId="0" hidden="1">30</definedName>
    <definedName name="solver_mrt" localSheetId="0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0,075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)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'Methods and calculation'!$DS$55</definedName>
    <definedName name="solver_pre" localSheetId="0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)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hs1" localSheetId="0" hidden="1">1</definedName>
    <definedName name="solver_rhs2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I75" i="1" l="1"/>
  <c r="EH75" i="1"/>
  <c r="EG75" i="1"/>
  <c r="EF75" i="1"/>
  <c r="EE75" i="1"/>
  <c r="ED75" i="1"/>
  <c r="EC75" i="1"/>
  <c r="EB75" i="1"/>
  <c r="EA75" i="1"/>
  <c r="DZ75" i="1"/>
  <c r="EJ75" i="1" s="1"/>
  <c r="EI74" i="1"/>
  <c r="EH74" i="1"/>
  <c r="EG74" i="1"/>
  <c r="EF74" i="1"/>
  <c r="EE74" i="1"/>
  <c r="ED74" i="1"/>
  <c r="EJ74" i="1" s="1"/>
  <c r="EC74" i="1"/>
  <c r="EB74" i="1"/>
  <c r="EA74" i="1"/>
  <c r="DZ74" i="1"/>
  <c r="EI73" i="1"/>
  <c r="EH73" i="1"/>
  <c r="EG73" i="1"/>
  <c r="EF73" i="1"/>
  <c r="EE73" i="1"/>
  <c r="ED73" i="1"/>
  <c r="EC73" i="1"/>
  <c r="EB73" i="1"/>
  <c r="EA73" i="1"/>
  <c r="DZ73" i="1"/>
  <c r="EJ73" i="1" s="1"/>
  <c r="EI72" i="1"/>
  <c r="EH72" i="1"/>
  <c r="EG72" i="1"/>
  <c r="EF72" i="1"/>
  <c r="EE72" i="1"/>
  <c r="ED72" i="1"/>
  <c r="EC72" i="1"/>
  <c r="EB72" i="1"/>
  <c r="EA72" i="1"/>
  <c r="DZ72" i="1"/>
  <c r="EJ72" i="1" s="1"/>
  <c r="EI71" i="1"/>
  <c r="EH71" i="1"/>
  <c r="EG71" i="1"/>
  <c r="EF71" i="1"/>
  <c r="EE71" i="1"/>
  <c r="ED71" i="1"/>
  <c r="EC71" i="1"/>
  <c r="EB71" i="1"/>
  <c r="EJ71" i="1" s="1"/>
  <c r="EA71" i="1"/>
  <c r="DZ71" i="1"/>
  <c r="EI66" i="1"/>
  <c r="EH66" i="1"/>
  <c r="EG66" i="1"/>
  <c r="EF66" i="1"/>
  <c r="EE66" i="1"/>
  <c r="ED66" i="1"/>
  <c r="EC66" i="1"/>
  <c r="EB66" i="1"/>
  <c r="EA66" i="1"/>
  <c r="DZ66" i="1"/>
  <c r="EJ66" i="1" s="1"/>
  <c r="EI65" i="1"/>
  <c r="EH65" i="1"/>
  <c r="EG65" i="1"/>
  <c r="EF65" i="1"/>
  <c r="EE65" i="1"/>
  <c r="ED65" i="1"/>
  <c r="EJ65" i="1" s="1"/>
  <c r="EC65" i="1"/>
  <c r="EB65" i="1"/>
  <c r="EA65" i="1"/>
  <c r="DZ65" i="1"/>
  <c r="EI64" i="1"/>
  <c r="EH64" i="1"/>
  <c r="EG64" i="1"/>
  <c r="EF64" i="1"/>
  <c r="EE64" i="1"/>
  <c r="ED64" i="1"/>
  <c r="EC64" i="1"/>
  <c r="EB64" i="1"/>
  <c r="EA64" i="1"/>
  <c r="DZ64" i="1"/>
  <c r="EJ64" i="1" s="1"/>
  <c r="EI63" i="1"/>
  <c r="EH63" i="1"/>
  <c r="EG63" i="1"/>
  <c r="EF63" i="1"/>
  <c r="EE63" i="1"/>
  <c r="ED63" i="1"/>
  <c r="EC63" i="1"/>
  <c r="EB63" i="1"/>
  <c r="EA63" i="1"/>
  <c r="DZ63" i="1"/>
  <c r="EJ63" i="1" s="1"/>
  <c r="EI62" i="1"/>
  <c r="EH62" i="1"/>
  <c r="EG62" i="1"/>
  <c r="EF62" i="1"/>
  <c r="EE62" i="1"/>
  <c r="ED62" i="1"/>
  <c r="EC62" i="1"/>
  <c r="EB62" i="1"/>
  <c r="EJ62" i="1" s="1"/>
  <c r="EA62" i="1"/>
  <c r="DZ62" i="1"/>
  <c r="EI55" i="1"/>
  <c r="EH55" i="1"/>
  <c r="EG55" i="1"/>
  <c r="EF55" i="1"/>
  <c r="EE55" i="1"/>
  <c r="ED55" i="1"/>
  <c r="EC55" i="1"/>
  <c r="EB55" i="1"/>
  <c r="EA55" i="1"/>
  <c r="DZ55" i="1"/>
  <c r="EI52" i="1"/>
  <c r="EH52" i="1"/>
  <c r="EG52" i="1"/>
  <c r="EF52" i="1"/>
  <c r="EE52" i="1"/>
  <c r="ED52" i="1"/>
  <c r="EC52" i="1"/>
  <c r="EB52" i="1"/>
  <c r="EA52" i="1"/>
  <c r="DZ52" i="1"/>
  <c r="EJ52" i="1" s="1"/>
  <c r="EI49" i="1"/>
  <c r="EH49" i="1"/>
  <c r="EG49" i="1"/>
  <c r="EF49" i="1"/>
  <c r="EE49" i="1"/>
  <c r="ED49" i="1"/>
  <c r="EC49" i="1"/>
  <c r="EB49" i="1"/>
  <c r="EA49" i="1"/>
  <c r="DZ49" i="1"/>
  <c r="EJ49" i="1" s="1"/>
  <c r="EI46" i="1"/>
  <c r="EH46" i="1"/>
  <c r="EG46" i="1"/>
  <c r="EF46" i="1"/>
  <c r="EE46" i="1"/>
  <c r="ED46" i="1"/>
  <c r="EC46" i="1"/>
  <c r="EB46" i="1"/>
  <c r="EA46" i="1"/>
  <c r="DZ46" i="1"/>
  <c r="EI43" i="1"/>
  <c r="EH43" i="1"/>
  <c r="EG43" i="1"/>
  <c r="EF43" i="1"/>
  <c r="EE43" i="1"/>
  <c r="ED43" i="1"/>
  <c r="EC43" i="1"/>
  <c r="EB43" i="1"/>
  <c r="EA43" i="1"/>
  <c r="DZ43" i="1"/>
  <c r="EJ43" i="1" s="1"/>
  <c r="EI37" i="1"/>
  <c r="EH37" i="1"/>
  <c r="EG37" i="1"/>
  <c r="EF37" i="1"/>
  <c r="EE37" i="1"/>
  <c r="ED37" i="1"/>
  <c r="EC37" i="1"/>
  <c r="EB37" i="1"/>
  <c r="EA37" i="1"/>
  <c r="DZ37" i="1"/>
  <c r="EI35" i="1"/>
  <c r="EH35" i="1"/>
  <c r="EG35" i="1"/>
  <c r="EF35" i="1"/>
  <c r="EE35" i="1"/>
  <c r="ED35" i="1"/>
  <c r="EC35" i="1"/>
  <c r="EB35" i="1"/>
  <c r="EA35" i="1"/>
  <c r="DZ35" i="1"/>
  <c r="EI33" i="1"/>
  <c r="EH33" i="1"/>
  <c r="EG33" i="1"/>
  <c r="EF33" i="1"/>
  <c r="EE33" i="1"/>
  <c r="ED33" i="1"/>
  <c r="EC33" i="1"/>
  <c r="EB33" i="1"/>
  <c r="EA33" i="1"/>
  <c r="DZ33" i="1"/>
  <c r="EJ33" i="1" s="1"/>
  <c r="EI31" i="1"/>
  <c r="EH31" i="1"/>
  <c r="EG31" i="1"/>
  <c r="EF31" i="1"/>
  <c r="EE31" i="1"/>
  <c r="ED31" i="1"/>
  <c r="EC31" i="1"/>
  <c r="EB31" i="1"/>
  <c r="EA31" i="1"/>
  <c r="DZ31" i="1"/>
  <c r="EJ31" i="1" s="1"/>
  <c r="EI29" i="1"/>
  <c r="EH29" i="1"/>
  <c r="EG29" i="1"/>
  <c r="EF29" i="1"/>
  <c r="EE29" i="1"/>
  <c r="ED29" i="1"/>
  <c r="EC29" i="1"/>
  <c r="EB29" i="1"/>
  <c r="EA29" i="1"/>
  <c r="DZ29" i="1"/>
  <c r="EJ29" i="1" s="1"/>
  <c r="EI24" i="1"/>
  <c r="EH24" i="1"/>
  <c r="EG24" i="1"/>
  <c r="EF24" i="1"/>
  <c r="EE24" i="1"/>
  <c r="ED24" i="1"/>
  <c r="EC24" i="1"/>
  <c r="EB24" i="1"/>
  <c r="EA24" i="1"/>
  <c r="DZ24" i="1"/>
  <c r="EI23" i="1"/>
  <c r="EH23" i="1"/>
  <c r="EG23" i="1"/>
  <c r="EF23" i="1"/>
  <c r="EE23" i="1"/>
  <c r="ED23" i="1"/>
  <c r="EJ23" i="1" s="1"/>
  <c r="EC23" i="1"/>
  <c r="EB23" i="1"/>
  <c r="EA23" i="1"/>
  <c r="DZ23" i="1"/>
  <c r="EI22" i="1"/>
  <c r="EH22" i="1"/>
  <c r="EG22" i="1"/>
  <c r="EF22" i="1"/>
  <c r="EE22" i="1"/>
  <c r="ED22" i="1"/>
  <c r="EC22" i="1"/>
  <c r="EB22" i="1"/>
  <c r="EA22" i="1"/>
  <c r="DZ22" i="1"/>
  <c r="EJ22" i="1" s="1"/>
  <c r="EI21" i="1"/>
  <c r="EH21" i="1"/>
  <c r="EG21" i="1"/>
  <c r="EF21" i="1"/>
  <c r="EE21" i="1"/>
  <c r="ED21" i="1"/>
  <c r="EC21" i="1"/>
  <c r="EJ21" i="1" s="1"/>
  <c r="EB21" i="1"/>
  <c r="EA21" i="1"/>
  <c r="DZ21" i="1"/>
  <c r="EI20" i="1"/>
  <c r="EH20" i="1"/>
  <c r="EG20" i="1"/>
  <c r="EF20" i="1"/>
  <c r="EE20" i="1"/>
  <c r="ED20" i="1"/>
  <c r="EC20" i="1"/>
  <c r="EB20" i="1"/>
  <c r="EJ20" i="1" s="1"/>
  <c r="EA20" i="1"/>
  <c r="DZ20" i="1"/>
  <c r="EA15" i="1"/>
  <c r="EB15" i="1"/>
  <c r="EC15" i="1"/>
  <c r="ED15" i="1"/>
  <c r="EE15" i="1"/>
  <c r="EJ15" i="1" s="1"/>
  <c r="EF15" i="1"/>
  <c r="EG15" i="1"/>
  <c r="EH15" i="1"/>
  <c r="EI15" i="1"/>
  <c r="DZ15" i="1"/>
  <c r="EA14" i="1"/>
  <c r="EB14" i="1"/>
  <c r="EC14" i="1"/>
  <c r="ED14" i="1"/>
  <c r="EE14" i="1"/>
  <c r="EF14" i="1"/>
  <c r="EG14" i="1"/>
  <c r="EH14" i="1"/>
  <c r="EI14" i="1"/>
  <c r="DZ14" i="1"/>
  <c r="EA13" i="1"/>
  <c r="EB13" i="1"/>
  <c r="EC13" i="1"/>
  <c r="ED13" i="1"/>
  <c r="EJ13" i="1" s="1"/>
  <c r="EE13" i="1"/>
  <c r="EF13" i="1"/>
  <c r="EG13" i="1"/>
  <c r="EH13" i="1"/>
  <c r="EI13" i="1"/>
  <c r="DZ13" i="1"/>
  <c r="EA12" i="1"/>
  <c r="EB12" i="1"/>
  <c r="EC12" i="1"/>
  <c r="ED12" i="1"/>
  <c r="EJ12" i="1" s="1"/>
  <c r="EE12" i="1"/>
  <c r="EF12" i="1"/>
  <c r="EG12" i="1"/>
  <c r="EH12" i="1"/>
  <c r="EI12" i="1"/>
  <c r="DZ12" i="1"/>
  <c r="EJ14" i="1"/>
  <c r="EA11" i="1"/>
  <c r="EB11" i="1"/>
  <c r="EC11" i="1"/>
  <c r="ED11" i="1"/>
  <c r="EE11" i="1"/>
  <c r="EF11" i="1"/>
  <c r="EG11" i="1"/>
  <c r="EH11" i="1"/>
  <c r="EI11" i="1"/>
  <c r="DZ11" i="1"/>
  <c r="EJ24" i="1"/>
  <c r="EJ35" i="1"/>
  <c r="EJ37" i="1"/>
  <c r="EJ46" i="1"/>
  <c r="EJ55" i="1"/>
  <c r="DI72" i="1"/>
  <c r="DJ72" i="1"/>
  <c r="DK72" i="1"/>
  <c r="DL72" i="1"/>
  <c r="DM72" i="1"/>
  <c r="DN72" i="1"/>
  <c r="DO72" i="1"/>
  <c r="DP72" i="1"/>
  <c r="DQ72" i="1"/>
  <c r="DR72" i="1"/>
  <c r="DI73" i="1"/>
  <c r="DJ73" i="1"/>
  <c r="DK73" i="1"/>
  <c r="DL73" i="1"/>
  <c r="DM73" i="1"/>
  <c r="DN73" i="1"/>
  <c r="DO73" i="1"/>
  <c r="DP73" i="1"/>
  <c r="DQ73" i="1"/>
  <c r="DR73" i="1"/>
  <c r="DI74" i="1"/>
  <c r="DJ74" i="1"/>
  <c r="DK74" i="1"/>
  <c r="DL74" i="1"/>
  <c r="DM74" i="1"/>
  <c r="DN74" i="1"/>
  <c r="DO74" i="1"/>
  <c r="DP74" i="1"/>
  <c r="DQ74" i="1"/>
  <c r="DR74" i="1"/>
  <c r="DI75" i="1"/>
  <c r="DS75" i="1" s="1"/>
  <c r="DJ75" i="1"/>
  <c r="DK75" i="1"/>
  <c r="DL75" i="1"/>
  <c r="DM75" i="1"/>
  <c r="DN75" i="1"/>
  <c r="DO75" i="1"/>
  <c r="DP75" i="1"/>
  <c r="DQ75" i="1"/>
  <c r="DR75" i="1"/>
  <c r="DJ71" i="1"/>
  <c r="DK71" i="1"/>
  <c r="DL71" i="1"/>
  <c r="DM71" i="1"/>
  <c r="DN71" i="1"/>
  <c r="DO71" i="1"/>
  <c r="DP71" i="1"/>
  <c r="DQ71" i="1"/>
  <c r="DR71" i="1"/>
  <c r="DI71" i="1"/>
  <c r="DI63" i="1"/>
  <c r="DJ63" i="1"/>
  <c r="DK63" i="1"/>
  <c r="DL63" i="1"/>
  <c r="DM63" i="1"/>
  <c r="DN63" i="1"/>
  <c r="DO63" i="1"/>
  <c r="DP63" i="1"/>
  <c r="DQ63" i="1"/>
  <c r="DR63" i="1"/>
  <c r="DI64" i="1"/>
  <c r="DJ64" i="1"/>
  <c r="DK64" i="1"/>
  <c r="DL64" i="1"/>
  <c r="DM64" i="1"/>
  <c r="DN64" i="1"/>
  <c r="DO64" i="1"/>
  <c r="DP64" i="1"/>
  <c r="DQ64" i="1"/>
  <c r="DR64" i="1"/>
  <c r="DI65" i="1"/>
  <c r="DJ65" i="1"/>
  <c r="DK65" i="1"/>
  <c r="DL65" i="1"/>
  <c r="DM65" i="1"/>
  <c r="DN65" i="1"/>
  <c r="DO65" i="1"/>
  <c r="DP65" i="1"/>
  <c r="DQ65" i="1"/>
  <c r="DR65" i="1"/>
  <c r="DI66" i="1"/>
  <c r="DJ66" i="1"/>
  <c r="DK66" i="1"/>
  <c r="DL66" i="1"/>
  <c r="DM66" i="1"/>
  <c r="DN66" i="1"/>
  <c r="DO66" i="1"/>
  <c r="DP66" i="1"/>
  <c r="DQ66" i="1"/>
  <c r="DR66" i="1"/>
  <c r="DJ62" i="1"/>
  <c r="DK62" i="1"/>
  <c r="DL62" i="1"/>
  <c r="DM62" i="1"/>
  <c r="DN62" i="1"/>
  <c r="DO62" i="1"/>
  <c r="DP62" i="1"/>
  <c r="DQ62" i="1"/>
  <c r="DR62" i="1"/>
  <c r="DI62" i="1"/>
  <c r="CX12" i="1"/>
  <c r="CY12" i="1" s="1"/>
  <c r="CX13" i="1"/>
  <c r="DI13" i="1" s="1"/>
  <c r="CX14" i="1"/>
  <c r="DI14" i="1" s="1"/>
  <c r="CX15" i="1"/>
  <c r="DI15" i="1" s="1"/>
  <c r="CX11" i="1"/>
  <c r="CY11" i="1" s="1"/>
  <c r="CZ11" i="1" s="1"/>
  <c r="DA11" i="1" s="1"/>
  <c r="DB11" i="1" s="1"/>
  <c r="DC11" i="1" s="1"/>
  <c r="DD11" i="1" s="1"/>
  <c r="DE11" i="1" s="1"/>
  <c r="DF11" i="1" s="1"/>
  <c r="DG11" i="1" s="1"/>
  <c r="DI12" i="1"/>
  <c r="DI11" i="1"/>
  <c r="B57" i="1"/>
  <c r="B56" i="1"/>
  <c r="B54" i="1"/>
  <c r="B53" i="1"/>
  <c r="C53" i="1" s="1"/>
  <c r="B51" i="1"/>
  <c r="B50" i="1"/>
  <c r="B48" i="1"/>
  <c r="B47" i="1"/>
  <c r="B45" i="1"/>
  <c r="B44" i="1"/>
  <c r="B38" i="1"/>
  <c r="C38" i="1" s="1"/>
  <c r="D38" i="1" s="1"/>
  <c r="E38" i="1" s="1"/>
  <c r="F38" i="1" s="1"/>
  <c r="G38" i="1" s="1"/>
  <c r="H38" i="1" s="1"/>
  <c r="I38" i="1" s="1"/>
  <c r="J38" i="1" s="1"/>
  <c r="K38" i="1" s="1"/>
  <c r="L38" i="1" s="1"/>
  <c r="M38" i="1" s="1"/>
  <c r="N38" i="1" s="1"/>
  <c r="O38" i="1" s="1"/>
  <c r="P38" i="1" s="1"/>
  <c r="Q38" i="1" s="1"/>
  <c r="R38" i="1" s="1"/>
  <c r="S38" i="1" s="1"/>
  <c r="T38" i="1" s="1"/>
  <c r="U38" i="1" s="1"/>
  <c r="V38" i="1" s="1"/>
  <c r="W38" i="1" s="1"/>
  <c r="X38" i="1" s="1"/>
  <c r="Y38" i="1" s="1"/>
  <c r="Z38" i="1" s="1"/>
  <c r="AA38" i="1" s="1"/>
  <c r="AB38" i="1" s="1"/>
  <c r="AC38" i="1" s="1"/>
  <c r="AD38" i="1" s="1"/>
  <c r="AE38" i="1" s="1"/>
  <c r="AF38" i="1" s="1"/>
  <c r="AG38" i="1" s="1"/>
  <c r="AH38" i="1" s="1"/>
  <c r="AI38" i="1" s="1"/>
  <c r="AJ38" i="1" s="1"/>
  <c r="AK38" i="1" s="1"/>
  <c r="AL38" i="1" s="1"/>
  <c r="AM38" i="1" s="1"/>
  <c r="AN38" i="1" s="1"/>
  <c r="AO38" i="1" s="1"/>
  <c r="AP38" i="1" s="1"/>
  <c r="AQ38" i="1" s="1"/>
  <c r="AR38" i="1" s="1"/>
  <c r="AS38" i="1" s="1"/>
  <c r="AT38" i="1" s="1"/>
  <c r="AU38" i="1" s="1"/>
  <c r="AV38" i="1" s="1"/>
  <c r="AW38" i="1" s="1"/>
  <c r="AX38" i="1" s="1"/>
  <c r="AY38" i="1" s="1"/>
  <c r="AZ38" i="1" s="1"/>
  <c r="BA38" i="1" s="1"/>
  <c r="BB38" i="1" s="1"/>
  <c r="BC38" i="1" s="1"/>
  <c r="BD38" i="1" s="1"/>
  <c r="BE38" i="1" s="1"/>
  <c r="BF38" i="1" s="1"/>
  <c r="BG38" i="1" s="1"/>
  <c r="BH38" i="1" s="1"/>
  <c r="BI38" i="1" s="1"/>
  <c r="BJ38" i="1" s="1"/>
  <c r="BK38" i="1" s="1"/>
  <c r="BL38" i="1" s="1"/>
  <c r="BM38" i="1" s="1"/>
  <c r="BN38" i="1" s="1"/>
  <c r="BO38" i="1" s="1"/>
  <c r="BP38" i="1" s="1"/>
  <c r="BQ38" i="1" s="1"/>
  <c r="BR38" i="1" s="1"/>
  <c r="BS38" i="1" s="1"/>
  <c r="BT38" i="1" s="1"/>
  <c r="BU38" i="1" s="1"/>
  <c r="BV38" i="1" s="1"/>
  <c r="BW38" i="1" s="1"/>
  <c r="BX38" i="1" s="1"/>
  <c r="BY38" i="1" s="1"/>
  <c r="BZ38" i="1" s="1"/>
  <c r="CA38" i="1" s="1"/>
  <c r="CB38" i="1" s="1"/>
  <c r="CC38" i="1" s="1"/>
  <c r="CD38" i="1" s="1"/>
  <c r="CE38" i="1" s="1"/>
  <c r="CF38" i="1" s="1"/>
  <c r="CG38" i="1" s="1"/>
  <c r="CH38" i="1" s="1"/>
  <c r="CI38" i="1" s="1"/>
  <c r="CJ38" i="1" s="1"/>
  <c r="CK38" i="1" s="1"/>
  <c r="CL38" i="1" s="1"/>
  <c r="CM38" i="1" s="1"/>
  <c r="CN38" i="1" s="1"/>
  <c r="CO38" i="1" s="1"/>
  <c r="CP38" i="1" s="1"/>
  <c r="CQ38" i="1" s="1"/>
  <c r="CR38" i="1" s="1"/>
  <c r="CS38" i="1" s="1"/>
  <c r="CT38" i="1" s="1"/>
  <c r="CU38" i="1" s="1"/>
  <c r="CV38" i="1" s="1"/>
  <c r="CW38" i="1" s="1"/>
  <c r="B36" i="1"/>
  <c r="C36" i="1" s="1"/>
  <c r="D36" i="1" s="1"/>
  <c r="E36" i="1" s="1"/>
  <c r="F36" i="1" s="1"/>
  <c r="G36" i="1" s="1"/>
  <c r="H36" i="1" s="1"/>
  <c r="I36" i="1" s="1"/>
  <c r="J36" i="1" s="1"/>
  <c r="K36" i="1" s="1"/>
  <c r="L36" i="1" s="1"/>
  <c r="M36" i="1" s="1"/>
  <c r="N36" i="1" s="1"/>
  <c r="O36" i="1" s="1"/>
  <c r="P36" i="1" s="1"/>
  <c r="Q36" i="1" s="1"/>
  <c r="R36" i="1" s="1"/>
  <c r="S36" i="1" s="1"/>
  <c r="T36" i="1" s="1"/>
  <c r="U36" i="1" s="1"/>
  <c r="V36" i="1" s="1"/>
  <c r="W36" i="1" s="1"/>
  <c r="X36" i="1" s="1"/>
  <c r="Y36" i="1" s="1"/>
  <c r="Z36" i="1" s="1"/>
  <c r="AA36" i="1" s="1"/>
  <c r="AB36" i="1" s="1"/>
  <c r="AC36" i="1" s="1"/>
  <c r="AD36" i="1" s="1"/>
  <c r="AE36" i="1" s="1"/>
  <c r="AF36" i="1" s="1"/>
  <c r="AG36" i="1" s="1"/>
  <c r="AH36" i="1" s="1"/>
  <c r="AI36" i="1" s="1"/>
  <c r="AJ36" i="1" s="1"/>
  <c r="AK36" i="1" s="1"/>
  <c r="AL36" i="1" s="1"/>
  <c r="AM36" i="1" s="1"/>
  <c r="AN36" i="1" s="1"/>
  <c r="AO36" i="1" s="1"/>
  <c r="AP36" i="1" s="1"/>
  <c r="AQ36" i="1" s="1"/>
  <c r="AR36" i="1" s="1"/>
  <c r="AS36" i="1" s="1"/>
  <c r="AT36" i="1" s="1"/>
  <c r="AU36" i="1" s="1"/>
  <c r="AV36" i="1" s="1"/>
  <c r="AW36" i="1" s="1"/>
  <c r="AX36" i="1" s="1"/>
  <c r="AY36" i="1" s="1"/>
  <c r="AZ36" i="1" s="1"/>
  <c r="BA36" i="1" s="1"/>
  <c r="BB36" i="1" s="1"/>
  <c r="BC36" i="1" s="1"/>
  <c r="BD36" i="1" s="1"/>
  <c r="BE36" i="1" s="1"/>
  <c r="BF36" i="1" s="1"/>
  <c r="BG36" i="1" s="1"/>
  <c r="BH36" i="1" s="1"/>
  <c r="BI36" i="1" s="1"/>
  <c r="BJ36" i="1" s="1"/>
  <c r="BK36" i="1" s="1"/>
  <c r="BL36" i="1" s="1"/>
  <c r="BM36" i="1" s="1"/>
  <c r="BN36" i="1" s="1"/>
  <c r="BO36" i="1" s="1"/>
  <c r="BP36" i="1" s="1"/>
  <c r="BQ36" i="1" s="1"/>
  <c r="BR36" i="1" s="1"/>
  <c r="BS36" i="1" s="1"/>
  <c r="BT36" i="1" s="1"/>
  <c r="BU36" i="1" s="1"/>
  <c r="BV36" i="1" s="1"/>
  <c r="BW36" i="1" s="1"/>
  <c r="BX36" i="1" s="1"/>
  <c r="BY36" i="1" s="1"/>
  <c r="BZ36" i="1" s="1"/>
  <c r="CA36" i="1" s="1"/>
  <c r="CB36" i="1" s="1"/>
  <c r="CC36" i="1" s="1"/>
  <c r="CD36" i="1" s="1"/>
  <c r="CE36" i="1" s="1"/>
  <c r="CF36" i="1" s="1"/>
  <c r="CG36" i="1" s="1"/>
  <c r="CH36" i="1" s="1"/>
  <c r="CI36" i="1" s="1"/>
  <c r="CJ36" i="1" s="1"/>
  <c r="CK36" i="1" s="1"/>
  <c r="CL36" i="1" s="1"/>
  <c r="CM36" i="1" s="1"/>
  <c r="CN36" i="1" s="1"/>
  <c r="CO36" i="1" s="1"/>
  <c r="CP36" i="1" s="1"/>
  <c r="CQ36" i="1" s="1"/>
  <c r="CR36" i="1" s="1"/>
  <c r="CS36" i="1" s="1"/>
  <c r="CT36" i="1" s="1"/>
  <c r="CU36" i="1" s="1"/>
  <c r="CV36" i="1" s="1"/>
  <c r="CW36" i="1" s="1"/>
  <c r="B34" i="1"/>
  <c r="C34" i="1" s="1"/>
  <c r="D34" i="1" s="1"/>
  <c r="E34" i="1" s="1"/>
  <c r="F34" i="1" s="1"/>
  <c r="G34" i="1" s="1"/>
  <c r="H34" i="1" s="1"/>
  <c r="I34" i="1" s="1"/>
  <c r="J34" i="1" s="1"/>
  <c r="K34" i="1" s="1"/>
  <c r="L34" i="1" s="1"/>
  <c r="M34" i="1" s="1"/>
  <c r="N34" i="1" s="1"/>
  <c r="O34" i="1" s="1"/>
  <c r="P34" i="1" s="1"/>
  <c r="Q34" i="1" s="1"/>
  <c r="R34" i="1" s="1"/>
  <c r="S34" i="1" s="1"/>
  <c r="T34" i="1" s="1"/>
  <c r="U34" i="1" s="1"/>
  <c r="V34" i="1" s="1"/>
  <c r="W34" i="1" s="1"/>
  <c r="X34" i="1" s="1"/>
  <c r="Y34" i="1" s="1"/>
  <c r="Z34" i="1" s="1"/>
  <c r="AA34" i="1" s="1"/>
  <c r="AB34" i="1" s="1"/>
  <c r="AC34" i="1" s="1"/>
  <c r="AD34" i="1" s="1"/>
  <c r="AE34" i="1" s="1"/>
  <c r="AF34" i="1" s="1"/>
  <c r="AG34" i="1" s="1"/>
  <c r="AH34" i="1" s="1"/>
  <c r="AI34" i="1" s="1"/>
  <c r="AJ34" i="1" s="1"/>
  <c r="AK34" i="1" s="1"/>
  <c r="AL34" i="1" s="1"/>
  <c r="AM34" i="1" s="1"/>
  <c r="AN34" i="1" s="1"/>
  <c r="AO34" i="1" s="1"/>
  <c r="AP34" i="1" s="1"/>
  <c r="AQ34" i="1" s="1"/>
  <c r="AR34" i="1" s="1"/>
  <c r="AS34" i="1" s="1"/>
  <c r="AT34" i="1" s="1"/>
  <c r="AU34" i="1" s="1"/>
  <c r="AV34" i="1" s="1"/>
  <c r="AW34" i="1" s="1"/>
  <c r="AX34" i="1" s="1"/>
  <c r="AY34" i="1" s="1"/>
  <c r="AZ34" i="1" s="1"/>
  <c r="BA34" i="1" s="1"/>
  <c r="BB34" i="1" s="1"/>
  <c r="BC34" i="1" s="1"/>
  <c r="BD34" i="1" s="1"/>
  <c r="BE34" i="1" s="1"/>
  <c r="BF34" i="1" s="1"/>
  <c r="BG34" i="1" s="1"/>
  <c r="BH34" i="1" s="1"/>
  <c r="BI34" i="1" s="1"/>
  <c r="BJ34" i="1" s="1"/>
  <c r="BK34" i="1" s="1"/>
  <c r="BL34" i="1" s="1"/>
  <c r="BM34" i="1" s="1"/>
  <c r="BN34" i="1" s="1"/>
  <c r="BO34" i="1" s="1"/>
  <c r="BP34" i="1" s="1"/>
  <c r="BQ34" i="1" s="1"/>
  <c r="BR34" i="1" s="1"/>
  <c r="BS34" i="1" s="1"/>
  <c r="BT34" i="1" s="1"/>
  <c r="BU34" i="1" s="1"/>
  <c r="BV34" i="1" s="1"/>
  <c r="BW34" i="1" s="1"/>
  <c r="BX34" i="1" s="1"/>
  <c r="BY34" i="1" s="1"/>
  <c r="BZ34" i="1" s="1"/>
  <c r="CA34" i="1" s="1"/>
  <c r="CB34" i="1" s="1"/>
  <c r="CC34" i="1" s="1"/>
  <c r="CD34" i="1" s="1"/>
  <c r="CE34" i="1" s="1"/>
  <c r="CF34" i="1" s="1"/>
  <c r="CG34" i="1" s="1"/>
  <c r="CH34" i="1" s="1"/>
  <c r="CI34" i="1" s="1"/>
  <c r="CJ34" i="1" s="1"/>
  <c r="CK34" i="1" s="1"/>
  <c r="CL34" i="1" s="1"/>
  <c r="CM34" i="1" s="1"/>
  <c r="CN34" i="1" s="1"/>
  <c r="CO34" i="1" s="1"/>
  <c r="CP34" i="1" s="1"/>
  <c r="CQ34" i="1" s="1"/>
  <c r="CR34" i="1" s="1"/>
  <c r="CS34" i="1" s="1"/>
  <c r="CT34" i="1" s="1"/>
  <c r="CU34" i="1" s="1"/>
  <c r="CV34" i="1" s="1"/>
  <c r="CW34" i="1" s="1"/>
  <c r="B32" i="1"/>
  <c r="C32" i="1" s="1"/>
  <c r="D32" i="1" s="1"/>
  <c r="E32" i="1" s="1"/>
  <c r="F32" i="1" s="1"/>
  <c r="G32" i="1" s="1"/>
  <c r="H32" i="1" s="1"/>
  <c r="I32" i="1" s="1"/>
  <c r="J32" i="1" s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AA32" i="1" s="1"/>
  <c r="AB32" i="1" s="1"/>
  <c r="AC32" i="1" s="1"/>
  <c r="AD32" i="1" s="1"/>
  <c r="AE32" i="1" s="1"/>
  <c r="AF32" i="1" s="1"/>
  <c r="AG32" i="1" s="1"/>
  <c r="AH32" i="1" s="1"/>
  <c r="AI32" i="1" s="1"/>
  <c r="AJ32" i="1" s="1"/>
  <c r="AK32" i="1" s="1"/>
  <c r="AL32" i="1" s="1"/>
  <c r="AM32" i="1" s="1"/>
  <c r="AN32" i="1" s="1"/>
  <c r="AO32" i="1" s="1"/>
  <c r="AP32" i="1" s="1"/>
  <c r="AQ32" i="1" s="1"/>
  <c r="AR32" i="1" s="1"/>
  <c r="AS32" i="1" s="1"/>
  <c r="AT32" i="1" s="1"/>
  <c r="AU32" i="1" s="1"/>
  <c r="AV32" i="1" s="1"/>
  <c r="AW32" i="1" s="1"/>
  <c r="AX32" i="1" s="1"/>
  <c r="AY32" i="1" s="1"/>
  <c r="AZ32" i="1" s="1"/>
  <c r="BA32" i="1" s="1"/>
  <c r="BB32" i="1" s="1"/>
  <c r="BC32" i="1" s="1"/>
  <c r="BD32" i="1" s="1"/>
  <c r="BE32" i="1" s="1"/>
  <c r="BF32" i="1" s="1"/>
  <c r="BG32" i="1" s="1"/>
  <c r="BH32" i="1" s="1"/>
  <c r="BI32" i="1" s="1"/>
  <c r="BJ32" i="1" s="1"/>
  <c r="BK32" i="1" s="1"/>
  <c r="BL32" i="1" s="1"/>
  <c r="BM32" i="1" s="1"/>
  <c r="BN32" i="1" s="1"/>
  <c r="BO32" i="1" s="1"/>
  <c r="BP32" i="1" s="1"/>
  <c r="BQ32" i="1" s="1"/>
  <c r="BR32" i="1" s="1"/>
  <c r="BS32" i="1" s="1"/>
  <c r="BT32" i="1" s="1"/>
  <c r="BU32" i="1" s="1"/>
  <c r="BV32" i="1" s="1"/>
  <c r="BW32" i="1" s="1"/>
  <c r="BX32" i="1" s="1"/>
  <c r="BY32" i="1" s="1"/>
  <c r="BZ32" i="1" s="1"/>
  <c r="CA32" i="1" s="1"/>
  <c r="CB32" i="1" s="1"/>
  <c r="CC32" i="1" s="1"/>
  <c r="CD32" i="1" s="1"/>
  <c r="CE32" i="1" s="1"/>
  <c r="CF32" i="1" s="1"/>
  <c r="CG32" i="1" s="1"/>
  <c r="CH32" i="1" s="1"/>
  <c r="CI32" i="1" s="1"/>
  <c r="CJ32" i="1" s="1"/>
  <c r="CK32" i="1" s="1"/>
  <c r="CL32" i="1" s="1"/>
  <c r="CM32" i="1" s="1"/>
  <c r="CN32" i="1" s="1"/>
  <c r="CO32" i="1" s="1"/>
  <c r="CP32" i="1" s="1"/>
  <c r="CQ32" i="1" s="1"/>
  <c r="CR32" i="1" s="1"/>
  <c r="CS32" i="1" s="1"/>
  <c r="CT32" i="1" s="1"/>
  <c r="CU32" i="1" s="1"/>
  <c r="CV32" i="1" s="1"/>
  <c r="CW32" i="1" s="1"/>
  <c r="B30" i="1"/>
  <c r="C30" i="1" s="1"/>
  <c r="D30" i="1" s="1"/>
  <c r="E30" i="1" s="1"/>
  <c r="F30" i="1" s="1"/>
  <c r="G30" i="1" s="1"/>
  <c r="H30" i="1" s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AA30" i="1" s="1"/>
  <c r="AB30" i="1" s="1"/>
  <c r="AC30" i="1" s="1"/>
  <c r="AD30" i="1" s="1"/>
  <c r="AE30" i="1" s="1"/>
  <c r="AF30" i="1" s="1"/>
  <c r="AG30" i="1" s="1"/>
  <c r="AH30" i="1" s="1"/>
  <c r="AI30" i="1" s="1"/>
  <c r="AJ30" i="1" s="1"/>
  <c r="AK30" i="1" s="1"/>
  <c r="AL30" i="1" s="1"/>
  <c r="AM30" i="1" s="1"/>
  <c r="AN30" i="1" s="1"/>
  <c r="AO30" i="1" s="1"/>
  <c r="AP30" i="1" s="1"/>
  <c r="AQ30" i="1" s="1"/>
  <c r="AR30" i="1" s="1"/>
  <c r="AS30" i="1" s="1"/>
  <c r="AT30" i="1" s="1"/>
  <c r="AU30" i="1" s="1"/>
  <c r="AV30" i="1" s="1"/>
  <c r="AW30" i="1" s="1"/>
  <c r="AX30" i="1" s="1"/>
  <c r="AY30" i="1" s="1"/>
  <c r="AZ30" i="1" s="1"/>
  <c r="BA30" i="1" s="1"/>
  <c r="BB30" i="1" s="1"/>
  <c r="BC30" i="1" s="1"/>
  <c r="BD30" i="1" s="1"/>
  <c r="BE30" i="1" s="1"/>
  <c r="BF30" i="1" s="1"/>
  <c r="BG30" i="1" s="1"/>
  <c r="BH30" i="1" s="1"/>
  <c r="BI30" i="1" s="1"/>
  <c r="BJ30" i="1" s="1"/>
  <c r="BK30" i="1" s="1"/>
  <c r="BL30" i="1" s="1"/>
  <c r="BM30" i="1" s="1"/>
  <c r="BN30" i="1" s="1"/>
  <c r="BO30" i="1" s="1"/>
  <c r="BP30" i="1" s="1"/>
  <c r="BQ30" i="1" s="1"/>
  <c r="BR30" i="1" s="1"/>
  <c r="BS30" i="1" s="1"/>
  <c r="BT30" i="1" s="1"/>
  <c r="BU30" i="1" s="1"/>
  <c r="BV30" i="1" s="1"/>
  <c r="BW30" i="1" s="1"/>
  <c r="BX30" i="1" s="1"/>
  <c r="BY30" i="1" s="1"/>
  <c r="BZ30" i="1" s="1"/>
  <c r="CA30" i="1" s="1"/>
  <c r="CB30" i="1" s="1"/>
  <c r="CC30" i="1" s="1"/>
  <c r="CD30" i="1" s="1"/>
  <c r="CE30" i="1" s="1"/>
  <c r="CF30" i="1" s="1"/>
  <c r="CG30" i="1" s="1"/>
  <c r="CH30" i="1" s="1"/>
  <c r="CI30" i="1" s="1"/>
  <c r="CJ30" i="1" s="1"/>
  <c r="CK30" i="1" s="1"/>
  <c r="CL30" i="1" s="1"/>
  <c r="CM30" i="1" s="1"/>
  <c r="CN30" i="1" s="1"/>
  <c r="CO30" i="1" s="1"/>
  <c r="CP30" i="1" s="1"/>
  <c r="CQ30" i="1" s="1"/>
  <c r="CR30" i="1" s="1"/>
  <c r="CS30" i="1" s="1"/>
  <c r="CT30" i="1" s="1"/>
  <c r="CU30" i="1" s="1"/>
  <c r="CV30" i="1" s="1"/>
  <c r="CW30" i="1" s="1"/>
  <c r="CX24" i="1"/>
  <c r="CY24" i="1" s="1"/>
  <c r="CX23" i="1"/>
  <c r="CY23" i="1" s="1"/>
  <c r="CZ23" i="1" s="1"/>
  <c r="CX22" i="1"/>
  <c r="CY22" i="1" s="1"/>
  <c r="CX21" i="1"/>
  <c r="CY21" i="1" s="1"/>
  <c r="CZ21" i="1" s="1"/>
  <c r="CX20" i="1"/>
  <c r="CY20" i="1" s="1"/>
  <c r="CZ20" i="1" s="1"/>
  <c r="DG6" i="2"/>
  <c r="DF6" i="2"/>
  <c r="DE6" i="2"/>
  <c r="DD6" i="2"/>
  <c r="DC6" i="2"/>
  <c r="DB6" i="2"/>
  <c r="DA6" i="2"/>
  <c r="CZ6" i="2"/>
  <c r="CY6" i="2"/>
  <c r="CX6" i="2"/>
  <c r="CW6" i="2"/>
  <c r="CV6" i="2"/>
  <c r="CU6" i="2"/>
  <c r="CT6" i="2"/>
  <c r="CS6" i="2"/>
  <c r="CR6" i="2"/>
  <c r="CQ6" i="2"/>
  <c r="CP6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DG5" i="2"/>
  <c r="DF5" i="2"/>
  <c r="DE5" i="2"/>
  <c r="DD5" i="2"/>
  <c r="DC5" i="2"/>
  <c r="DB5" i="2"/>
  <c r="DA5" i="2"/>
  <c r="CZ5" i="2"/>
  <c r="CY5" i="2"/>
  <c r="CX5" i="2"/>
  <c r="CW5" i="2"/>
  <c r="CV5" i="2"/>
  <c r="CU5" i="2"/>
  <c r="CT5" i="2"/>
  <c r="CS5" i="2"/>
  <c r="CR5" i="2"/>
  <c r="CQ5" i="2"/>
  <c r="CP5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DG4" i="2"/>
  <c r="DF4" i="2"/>
  <c r="DE4" i="2"/>
  <c r="DD4" i="2"/>
  <c r="DC4" i="2"/>
  <c r="DB4" i="2"/>
  <c r="DA4" i="2"/>
  <c r="CZ4" i="2"/>
  <c r="CY4" i="2"/>
  <c r="CX4" i="2"/>
  <c r="CW4" i="2"/>
  <c r="CV4" i="2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DG3" i="2"/>
  <c r="DF3" i="2"/>
  <c r="DE3" i="2"/>
  <c r="DD3" i="2"/>
  <c r="DC3" i="2"/>
  <c r="DB3" i="2"/>
  <c r="DA3" i="2"/>
  <c r="CZ3" i="2"/>
  <c r="CY3" i="2"/>
  <c r="CX3" i="2"/>
  <c r="CW3" i="2"/>
  <c r="CV3" i="2"/>
  <c r="CU3" i="2"/>
  <c r="CT3" i="2"/>
  <c r="CS3" i="2"/>
  <c r="CR3" i="2"/>
  <c r="CQ3" i="2"/>
  <c r="CP3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DG2" i="2"/>
  <c r="DF2" i="2"/>
  <c r="DE2" i="2"/>
  <c r="DD2" i="2"/>
  <c r="DC2" i="2"/>
  <c r="DB2" i="2"/>
  <c r="DA2" i="2"/>
  <c r="CZ2" i="2"/>
  <c r="CY2" i="2"/>
  <c r="CX2" i="2"/>
  <c r="CW2" i="2"/>
  <c r="CV2" i="2"/>
  <c r="CU2" i="2"/>
  <c r="CT2" i="2"/>
  <c r="CS2" i="2"/>
  <c r="CR2" i="2"/>
  <c r="CQ2" i="2"/>
  <c r="CP2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H2" i="2"/>
  <c r="BG2" i="2"/>
  <c r="BF2" i="2"/>
  <c r="BE2" i="2"/>
  <c r="BD2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EJ11" i="1" l="1"/>
  <c r="DS71" i="1"/>
  <c r="DS73" i="1"/>
  <c r="DS74" i="1"/>
  <c r="DS72" i="1"/>
  <c r="C56" i="1"/>
  <c r="C57" i="1" s="1"/>
  <c r="CY13" i="1"/>
  <c r="CZ12" i="1"/>
  <c r="DJ12" i="1"/>
  <c r="CY15" i="1"/>
  <c r="CY14" i="1"/>
  <c r="DJ11" i="1"/>
  <c r="C50" i="1"/>
  <c r="C44" i="1"/>
  <c r="C45" i="1" s="1"/>
  <c r="C47" i="1"/>
  <c r="C48" i="1" s="1"/>
  <c r="D47" i="1" s="1"/>
  <c r="D56" i="1"/>
  <c r="C54" i="1"/>
  <c r="D53" i="1" s="1"/>
  <c r="C51" i="1"/>
  <c r="D50" i="1" s="1"/>
  <c r="DI24" i="1"/>
  <c r="DI21" i="1"/>
  <c r="CY37" i="1"/>
  <c r="DJ37" i="1" s="1"/>
  <c r="DF35" i="1"/>
  <c r="DQ35" i="1" s="1"/>
  <c r="DD35" i="1"/>
  <c r="DO35" i="1" s="1"/>
  <c r="CY33" i="1"/>
  <c r="DJ33" i="1" s="1"/>
  <c r="DE35" i="1"/>
  <c r="DP35" i="1" s="1"/>
  <c r="CX33" i="1"/>
  <c r="DI33" i="1" s="1"/>
  <c r="DC35" i="1"/>
  <c r="DN35" i="1" s="1"/>
  <c r="CX35" i="1"/>
  <c r="DI35" i="1" s="1"/>
  <c r="DB35" i="1"/>
  <c r="DM35" i="1" s="1"/>
  <c r="CX37" i="1"/>
  <c r="DI37" i="1" s="1"/>
  <c r="DA35" i="1"/>
  <c r="DL35" i="1" s="1"/>
  <c r="DG33" i="1"/>
  <c r="DR33" i="1" s="1"/>
  <c r="CZ35" i="1"/>
  <c r="DK35" i="1" s="1"/>
  <c r="DF33" i="1"/>
  <c r="DQ33" i="1" s="1"/>
  <c r="CY35" i="1"/>
  <c r="DJ35" i="1" s="1"/>
  <c r="DE33" i="1"/>
  <c r="DP33" i="1" s="1"/>
  <c r="DG37" i="1"/>
  <c r="DR37" i="1" s="1"/>
  <c r="DD33" i="1"/>
  <c r="DO33" i="1" s="1"/>
  <c r="DF37" i="1"/>
  <c r="DQ37" i="1" s="1"/>
  <c r="DC33" i="1"/>
  <c r="DN33" i="1" s="1"/>
  <c r="DE37" i="1"/>
  <c r="DP37" i="1" s="1"/>
  <c r="DB33" i="1"/>
  <c r="DM33" i="1" s="1"/>
  <c r="DD37" i="1"/>
  <c r="DO37" i="1" s="1"/>
  <c r="DA33" i="1"/>
  <c r="DL33" i="1" s="1"/>
  <c r="DC37" i="1"/>
  <c r="DN37" i="1" s="1"/>
  <c r="CZ33" i="1"/>
  <c r="DK33" i="1" s="1"/>
  <c r="DB37" i="1"/>
  <c r="DM37" i="1" s="1"/>
  <c r="DA37" i="1"/>
  <c r="DL37" i="1" s="1"/>
  <c r="DG35" i="1"/>
  <c r="DR35" i="1" s="1"/>
  <c r="CZ37" i="1"/>
  <c r="DK37" i="1" s="1"/>
  <c r="DD31" i="1"/>
  <c r="DO31" i="1" s="1"/>
  <c r="DE31" i="1"/>
  <c r="DP31" i="1" s="1"/>
  <c r="DF31" i="1"/>
  <c r="DQ31" i="1" s="1"/>
  <c r="DG31" i="1"/>
  <c r="DR31" i="1" s="1"/>
  <c r="CX31" i="1"/>
  <c r="DI31" i="1" s="1"/>
  <c r="CY31" i="1"/>
  <c r="DJ31" i="1" s="1"/>
  <c r="DC31" i="1"/>
  <c r="DN31" i="1" s="1"/>
  <c r="CZ31" i="1"/>
  <c r="DK31" i="1" s="1"/>
  <c r="DA31" i="1"/>
  <c r="DL31" i="1" s="1"/>
  <c r="DB31" i="1"/>
  <c r="DM31" i="1" s="1"/>
  <c r="DI20" i="1"/>
  <c r="CY29" i="1"/>
  <c r="DJ29" i="1" s="1"/>
  <c r="CZ29" i="1"/>
  <c r="DK29" i="1" s="1"/>
  <c r="DA29" i="1"/>
  <c r="DL29" i="1" s="1"/>
  <c r="DB29" i="1"/>
  <c r="DM29" i="1" s="1"/>
  <c r="DC29" i="1"/>
  <c r="DN29" i="1" s="1"/>
  <c r="DD29" i="1"/>
  <c r="DO29" i="1" s="1"/>
  <c r="DE29" i="1"/>
  <c r="DP29" i="1" s="1"/>
  <c r="DF29" i="1"/>
  <c r="DQ29" i="1" s="1"/>
  <c r="DG29" i="1"/>
  <c r="DR29" i="1" s="1"/>
  <c r="CX29" i="1"/>
  <c r="DI29" i="1" s="1"/>
  <c r="DI23" i="1"/>
  <c r="DI22" i="1"/>
  <c r="CZ24" i="1"/>
  <c r="DA24" i="1" s="1"/>
  <c r="DJ24" i="1"/>
  <c r="DA23" i="1"/>
  <c r="DB23" i="1" s="1"/>
  <c r="DC23" i="1" s="1"/>
  <c r="DJ23" i="1"/>
  <c r="DK23" i="1"/>
  <c r="CZ22" i="1"/>
  <c r="DK22" i="1" s="1"/>
  <c r="DJ22" i="1"/>
  <c r="DA21" i="1"/>
  <c r="DL21" i="1" s="1"/>
  <c r="DJ21" i="1"/>
  <c r="DK21" i="1"/>
  <c r="DA20" i="1"/>
  <c r="DB20" i="1" s="1"/>
  <c r="DJ20" i="1"/>
  <c r="DK20" i="1"/>
  <c r="D44" i="1" l="1"/>
  <c r="D45" i="1" s="1"/>
  <c r="E44" i="1" s="1"/>
  <c r="E45" i="1" s="1"/>
  <c r="F44" i="1" s="1"/>
  <c r="DJ13" i="1"/>
  <c r="CZ13" i="1"/>
  <c r="CZ15" i="1"/>
  <c r="DJ15" i="1"/>
  <c r="DA12" i="1"/>
  <c r="DK12" i="1"/>
  <c r="DJ14" i="1"/>
  <c r="CZ14" i="1"/>
  <c r="D57" i="1"/>
  <c r="E56" i="1" s="1"/>
  <c r="E57" i="1" s="1"/>
  <c r="F56" i="1" s="1"/>
  <c r="F57" i="1" s="1"/>
  <c r="G56" i="1" s="1"/>
  <c r="D54" i="1"/>
  <c r="E53" i="1" s="1"/>
  <c r="E54" i="1" s="1"/>
  <c r="F53" i="1" s="1"/>
  <c r="F54" i="1" s="1"/>
  <c r="G53" i="1" s="1"/>
  <c r="D51" i="1"/>
  <c r="E50" i="1" s="1"/>
  <c r="D48" i="1"/>
  <c r="E47" i="1" s="1"/>
  <c r="E48" i="1" s="1"/>
  <c r="F47" i="1" s="1"/>
  <c r="F48" i="1" s="1"/>
  <c r="G47" i="1" s="1"/>
  <c r="DS35" i="1"/>
  <c r="DS37" i="1"/>
  <c r="DS33" i="1"/>
  <c r="DS31" i="1"/>
  <c r="DS29" i="1"/>
  <c r="DK24" i="1"/>
  <c r="DB24" i="1"/>
  <c r="DC24" i="1" s="1"/>
  <c r="DD24" i="1" s="1"/>
  <c r="DL24" i="1"/>
  <c r="DD23" i="1"/>
  <c r="DE23" i="1" s="1"/>
  <c r="DL23" i="1"/>
  <c r="DA22" i="1"/>
  <c r="DL22" i="1" s="1"/>
  <c r="DB21" i="1"/>
  <c r="DC20" i="1"/>
  <c r="DD20" i="1" s="1"/>
  <c r="DM20" i="1"/>
  <c r="DL20" i="1"/>
  <c r="DS64" i="1" l="1"/>
  <c r="DK13" i="1"/>
  <c r="DA13" i="1"/>
  <c r="DK14" i="1"/>
  <c r="DA14" i="1"/>
  <c r="DL12" i="1"/>
  <c r="DB12" i="1"/>
  <c r="DA15" i="1"/>
  <c r="DK15" i="1"/>
  <c r="DK11" i="1"/>
  <c r="DM11" i="1"/>
  <c r="E51" i="1"/>
  <c r="F50" i="1" s="1"/>
  <c r="F51" i="1" s="1"/>
  <c r="G50" i="1" s="1"/>
  <c r="G51" i="1" s="1"/>
  <c r="H50" i="1" s="1"/>
  <c r="G57" i="1"/>
  <c r="H56" i="1" s="1"/>
  <c r="G54" i="1"/>
  <c r="H53" i="1" s="1"/>
  <c r="G48" i="1"/>
  <c r="H47" i="1" s="1"/>
  <c r="F45" i="1"/>
  <c r="G44" i="1" s="1"/>
  <c r="DE24" i="1"/>
  <c r="DF24" i="1" s="1"/>
  <c r="DG24" i="1" s="1"/>
  <c r="DO24" i="1"/>
  <c r="DN24" i="1"/>
  <c r="DM24" i="1"/>
  <c r="DF23" i="1"/>
  <c r="DG23" i="1" s="1"/>
  <c r="DM23" i="1"/>
  <c r="DO23" i="1"/>
  <c r="DB22" i="1"/>
  <c r="DM22" i="1" s="1"/>
  <c r="DC21" i="1"/>
  <c r="DN21" i="1" s="1"/>
  <c r="DM21" i="1"/>
  <c r="DE20" i="1"/>
  <c r="DF20" i="1" s="1"/>
  <c r="DG20" i="1" s="1"/>
  <c r="DN20" i="1"/>
  <c r="DL13" i="1" l="1"/>
  <c r="DB13" i="1"/>
  <c r="DB15" i="1"/>
  <c r="DL15" i="1"/>
  <c r="DM12" i="1"/>
  <c r="DC12" i="1"/>
  <c r="DL14" i="1"/>
  <c r="DB14" i="1"/>
  <c r="DL11" i="1"/>
  <c r="H57" i="1"/>
  <c r="I56" i="1" s="1"/>
  <c r="H54" i="1"/>
  <c r="I53" i="1" s="1"/>
  <c r="H51" i="1"/>
  <c r="I50" i="1" s="1"/>
  <c r="H48" i="1"/>
  <c r="I47" i="1" s="1"/>
  <c r="DP24" i="1"/>
  <c r="G45" i="1"/>
  <c r="H44" i="1" s="1"/>
  <c r="DR24" i="1"/>
  <c r="DQ24" i="1"/>
  <c r="DN23" i="1"/>
  <c r="DP23" i="1"/>
  <c r="DC22" i="1"/>
  <c r="DD21" i="1"/>
  <c r="DE21" i="1" s="1"/>
  <c r="DP21" i="1" s="1"/>
  <c r="DO20" i="1"/>
  <c r="DS65" i="1" l="1"/>
  <c r="DM13" i="1"/>
  <c r="DC13" i="1"/>
  <c r="DC15" i="1"/>
  <c r="DM15" i="1"/>
  <c r="DM14" i="1"/>
  <c r="DC14" i="1"/>
  <c r="DN12" i="1"/>
  <c r="DD12" i="1"/>
  <c r="DN11" i="1"/>
  <c r="I57" i="1"/>
  <c r="J56" i="1" s="1"/>
  <c r="I54" i="1"/>
  <c r="J53" i="1" s="1"/>
  <c r="I51" i="1"/>
  <c r="J50" i="1" s="1"/>
  <c r="I48" i="1"/>
  <c r="J47" i="1" s="1"/>
  <c r="H45" i="1"/>
  <c r="I44" i="1" s="1"/>
  <c r="DS24" i="1"/>
  <c r="DD22" i="1"/>
  <c r="DO22" i="1" s="1"/>
  <c r="DN22" i="1"/>
  <c r="DE22" i="1"/>
  <c r="DF22" i="1" s="1"/>
  <c r="DG22" i="1" s="1"/>
  <c r="DF21" i="1"/>
  <c r="DG21" i="1" s="1"/>
  <c r="DO21" i="1"/>
  <c r="DP20" i="1"/>
  <c r="DQ20" i="1"/>
  <c r="DS62" i="1" l="1"/>
  <c r="DS63" i="1"/>
  <c r="DD13" i="1"/>
  <c r="DN13" i="1"/>
  <c r="DO12" i="1"/>
  <c r="DE12" i="1"/>
  <c r="DN14" i="1"/>
  <c r="DD14" i="1"/>
  <c r="DN15" i="1"/>
  <c r="DD15" i="1"/>
  <c r="DO11" i="1"/>
  <c r="J57" i="1"/>
  <c r="K56" i="1" s="1"/>
  <c r="J54" i="1"/>
  <c r="K53" i="1" s="1"/>
  <c r="J51" i="1"/>
  <c r="K50" i="1" s="1"/>
  <c r="J48" i="1"/>
  <c r="K47" i="1" s="1"/>
  <c r="I45" i="1"/>
  <c r="J44" i="1" s="1"/>
  <c r="DP22" i="1"/>
  <c r="DQ21" i="1"/>
  <c r="DR23" i="1"/>
  <c r="DQ23" i="1"/>
  <c r="DQ22" i="1"/>
  <c r="DR21" i="1"/>
  <c r="DR20" i="1"/>
  <c r="DS21" i="1" l="1"/>
  <c r="DS20" i="1"/>
  <c r="DS66" i="1"/>
  <c r="DE13" i="1"/>
  <c r="DO13" i="1"/>
  <c r="DO15" i="1"/>
  <c r="DE15" i="1"/>
  <c r="DE14" i="1"/>
  <c r="DO14" i="1"/>
  <c r="DP12" i="1"/>
  <c r="DF12" i="1"/>
  <c r="DP11" i="1"/>
  <c r="DQ11" i="1"/>
  <c r="DR11" i="1"/>
  <c r="K57" i="1"/>
  <c r="L56" i="1" s="1"/>
  <c r="K54" i="1"/>
  <c r="L53" i="1" s="1"/>
  <c r="K51" i="1"/>
  <c r="L50" i="1" s="1"/>
  <c r="K48" i="1"/>
  <c r="L47" i="1" s="1"/>
  <c r="J45" i="1"/>
  <c r="K44" i="1" s="1"/>
  <c r="DS23" i="1"/>
  <c r="DR22" i="1"/>
  <c r="DS22" i="1" l="1"/>
  <c r="DS11" i="1"/>
  <c r="DP13" i="1"/>
  <c r="DF13" i="1"/>
  <c r="DQ12" i="1"/>
  <c r="DG12" i="1"/>
  <c r="DR12" i="1" s="1"/>
  <c r="DF14" i="1"/>
  <c r="DP14" i="1"/>
  <c r="DP15" i="1"/>
  <c r="DF15" i="1"/>
  <c r="L57" i="1"/>
  <c r="M56" i="1" s="1"/>
  <c r="L54" i="1"/>
  <c r="M53" i="1" s="1"/>
  <c r="L51" i="1"/>
  <c r="M50" i="1" s="1"/>
  <c r="L48" i="1"/>
  <c r="M47" i="1" s="1"/>
  <c r="K45" i="1"/>
  <c r="L44" i="1" s="1"/>
  <c r="DS12" i="1" l="1"/>
  <c r="DG13" i="1"/>
  <c r="DR13" i="1" s="1"/>
  <c r="DQ13" i="1"/>
  <c r="DQ15" i="1"/>
  <c r="DG15" i="1"/>
  <c r="DR15" i="1" s="1"/>
  <c r="DG14" i="1"/>
  <c r="DR14" i="1" s="1"/>
  <c r="DQ14" i="1"/>
  <c r="M57" i="1"/>
  <c r="N56" i="1" s="1"/>
  <c r="M54" i="1"/>
  <c r="N53" i="1" s="1"/>
  <c r="M51" i="1"/>
  <c r="N50" i="1" s="1"/>
  <c r="M48" i="1"/>
  <c r="N47" i="1" s="1"/>
  <c r="L45" i="1"/>
  <c r="M44" i="1" s="1"/>
  <c r="DS13" i="1" l="1"/>
  <c r="DS14" i="1"/>
  <c r="DS15" i="1"/>
  <c r="N57" i="1"/>
  <c r="O56" i="1" s="1"/>
  <c r="N54" i="1"/>
  <c r="O53" i="1" s="1"/>
  <c r="N51" i="1"/>
  <c r="O50" i="1" s="1"/>
  <c r="N48" i="1"/>
  <c r="O47" i="1" s="1"/>
  <c r="M45" i="1"/>
  <c r="N44" i="1" s="1"/>
  <c r="O57" i="1" l="1"/>
  <c r="P56" i="1" s="1"/>
  <c r="O54" i="1"/>
  <c r="P53" i="1" s="1"/>
  <c r="O51" i="1"/>
  <c r="P50" i="1" s="1"/>
  <c r="O48" i="1"/>
  <c r="P47" i="1" s="1"/>
  <c r="N45" i="1"/>
  <c r="O44" i="1" s="1"/>
  <c r="P57" i="1" l="1"/>
  <c r="Q56" i="1" s="1"/>
  <c r="P54" i="1"/>
  <c r="Q53" i="1" s="1"/>
  <c r="P51" i="1"/>
  <c r="Q50" i="1" s="1"/>
  <c r="P48" i="1"/>
  <c r="Q47" i="1" s="1"/>
  <c r="O45" i="1"/>
  <c r="P44" i="1" s="1"/>
  <c r="Q57" i="1" l="1"/>
  <c r="R56" i="1" s="1"/>
  <c r="Q54" i="1"/>
  <c r="R53" i="1" s="1"/>
  <c r="Q51" i="1"/>
  <c r="R50" i="1" s="1"/>
  <c r="Q48" i="1"/>
  <c r="R47" i="1" s="1"/>
  <c r="P45" i="1"/>
  <c r="Q44" i="1" s="1"/>
  <c r="R57" i="1" l="1"/>
  <c r="S56" i="1" s="1"/>
  <c r="R54" i="1"/>
  <c r="S53" i="1" s="1"/>
  <c r="R51" i="1"/>
  <c r="S50" i="1" s="1"/>
  <c r="R48" i="1"/>
  <c r="S47" i="1" s="1"/>
  <c r="Q45" i="1"/>
  <c r="R44" i="1" s="1"/>
  <c r="S57" i="1" l="1"/>
  <c r="T56" i="1" s="1"/>
  <c r="S54" i="1"/>
  <c r="T53" i="1" s="1"/>
  <c r="S51" i="1"/>
  <c r="T50" i="1" s="1"/>
  <c r="S48" i="1"/>
  <c r="T47" i="1" s="1"/>
  <c r="R45" i="1"/>
  <c r="S44" i="1" s="1"/>
  <c r="T57" i="1" l="1"/>
  <c r="U56" i="1" s="1"/>
  <c r="T54" i="1"/>
  <c r="U53" i="1" s="1"/>
  <c r="T51" i="1"/>
  <c r="U50" i="1" s="1"/>
  <c r="T48" i="1"/>
  <c r="U47" i="1" s="1"/>
  <c r="S45" i="1"/>
  <c r="T44" i="1" s="1"/>
  <c r="U57" i="1" l="1"/>
  <c r="V56" i="1" s="1"/>
  <c r="U54" i="1"/>
  <c r="V53" i="1" s="1"/>
  <c r="U51" i="1"/>
  <c r="V50" i="1" s="1"/>
  <c r="U48" i="1"/>
  <c r="V47" i="1" s="1"/>
  <c r="T45" i="1"/>
  <c r="U44" i="1" s="1"/>
  <c r="V57" i="1" l="1"/>
  <c r="W56" i="1" s="1"/>
  <c r="V54" i="1"/>
  <c r="W53" i="1" s="1"/>
  <c r="V51" i="1"/>
  <c r="W50" i="1" s="1"/>
  <c r="V48" i="1"/>
  <c r="W47" i="1" s="1"/>
  <c r="U45" i="1"/>
  <c r="V44" i="1" s="1"/>
  <c r="W57" i="1" l="1"/>
  <c r="X56" i="1" s="1"/>
  <c r="W54" i="1"/>
  <c r="X53" i="1" s="1"/>
  <c r="W51" i="1"/>
  <c r="X50" i="1" s="1"/>
  <c r="W48" i="1"/>
  <c r="X47" i="1" s="1"/>
  <c r="V45" i="1"/>
  <c r="W44" i="1" s="1"/>
  <c r="X57" i="1" l="1"/>
  <c r="Y56" i="1" s="1"/>
  <c r="X54" i="1"/>
  <c r="Y53" i="1" s="1"/>
  <c r="X51" i="1"/>
  <c r="Y50" i="1" s="1"/>
  <c r="X48" i="1"/>
  <c r="Y47" i="1" s="1"/>
  <c r="W45" i="1"/>
  <c r="X44" i="1" s="1"/>
  <c r="Y57" i="1" l="1"/>
  <c r="Z56" i="1" s="1"/>
  <c r="Y54" i="1"/>
  <c r="Z53" i="1" s="1"/>
  <c r="Y51" i="1"/>
  <c r="Z50" i="1" s="1"/>
  <c r="Y48" i="1"/>
  <c r="Z47" i="1" s="1"/>
  <c r="X45" i="1"/>
  <c r="Y44" i="1" s="1"/>
  <c r="Z57" i="1" l="1"/>
  <c r="AA56" i="1" s="1"/>
  <c r="Z54" i="1"/>
  <c r="AA53" i="1" s="1"/>
  <c r="Z51" i="1"/>
  <c r="AA50" i="1" s="1"/>
  <c r="Z48" i="1"/>
  <c r="AA47" i="1" s="1"/>
  <c r="Y45" i="1"/>
  <c r="Z44" i="1" s="1"/>
  <c r="AA57" i="1" l="1"/>
  <c r="AB56" i="1" s="1"/>
  <c r="AA54" i="1"/>
  <c r="AB53" i="1" s="1"/>
  <c r="AA51" i="1"/>
  <c r="AB50" i="1" s="1"/>
  <c r="AA48" i="1"/>
  <c r="AB47" i="1" s="1"/>
  <c r="Z45" i="1"/>
  <c r="AA44" i="1" s="1"/>
  <c r="AB57" i="1" l="1"/>
  <c r="AC56" i="1" s="1"/>
  <c r="AB54" i="1"/>
  <c r="AC53" i="1" s="1"/>
  <c r="AB51" i="1"/>
  <c r="AC50" i="1" s="1"/>
  <c r="AB48" i="1"/>
  <c r="AC47" i="1" s="1"/>
  <c r="AA45" i="1"/>
  <c r="AB44" i="1" s="1"/>
  <c r="AC57" i="1" l="1"/>
  <c r="AD56" i="1" s="1"/>
  <c r="AC54" i="1"/>
  <c r="AD53" i="1" s="1"/>
  <c r="AC51" i="1"/>
  <c r="AD50" i="1" s="1"/>
  <c r="AC48" i="1"/>
  <c r="AD47" i="1" s="1"/>
  <c r="AB45" i="1"/>
  <c r="AC44" i="1" s="1"/>
  <c r="AD57" i="1" l="1"/>
  <c r="AE56" i="1" s="1"/>
  <c r="AD54" i="1"/>
  <c r="AE53" i="1" s="1"/>
  <c r="AD51" i="1"/>
  <c r="AE50" i="1" s="1"/>
  <c r="AD48" i="1"/>
  <c r="AE47" i="1" s="1"/>
  <c r="AC45" i="1"/>
  <c r="AD44" i="1" s="1"/>
  <c r="AE57" i="1" l="1"/>
  <c r="AF56" i="1" s="1"/>
  <c r="AE54" i="1"/>
  <c r="AF53" i="1" s="1"/>
  <c r="AE51" i="1"/>
  <c r="AF50" i="1" s="1"/>
  <c r="AE48" i="1"/>
  <c r="AF47" i="1" s="1"/>
  <c r="AD45" i="1"/>
  <c r="AE44" i="1" s="1"/>
  <c r="AF57" i="1" l="1"/>
  <c r="AG56" i="1" s="1"/>
  <c r="AF54" i="1"/>
  <c r="AG53" i="1" s="1"/>
  <c r="AF51" i="1"/>
  <c r="AG50" i="1" s="1"/>
  <c r="AF48" i="1"/>
  <c r="AG47" i="1" s="1"/>
  <c r="AE45" i="1"/>
  <c r="AF44" i="1" s="1"/>
  <c r="AG57" i="1" l="1"/>
  <c r="AH56" i="1" s="1"/>
  <c r="AG54" i="1"/>
  <c r="AH53" i="1" s="1"/>
  <c r="AG51" i="1"/>
  <c r="AH50" i="1" s="1"/>
  <c r="AG48" i="1"/>
  <c r="AH47" i="1" s="1"/>
  <c r="AF45" i="1"/>
  <c r="AG44" i="1" s="1"/>
  <c r="AH57" i="1" l="1"/>
  <c r="AI56" i="1" s="1"/>
  <c r="AH54" i="1"/>
  <c r="AI53" i="1" s="1"/>
  <c r="AH51" i="1"/>
  <c r="AI50" i="1" s="1"/>
  <c r="AH48" i="1"/>
  <c r="AI47" i="1" s="1"/>
  <c r="AG45" i="1"/>
  <c r="AH44" i="1" s="1"/>
  <c r="AI57" i="1" l="1"/>
  <c r="AJ56" i="1" s="1"/>
  <c r="AI54" i="1"/>
  <c r="AJ53" i="1" s="1"/>
  <c r="AI51" i="1"/>
  <c r="AJ50" i="1" s="1"/>
  <c r="AI48" i="1"/>
  <c r="AJ47" i="1" s="1"/>
  <c r="AH45" i="1"/>
  <c r="AI44" i="1" s="1"/>
  <c r="AJ57" i="1" l="1"/>
  <c r="AK56" i="1" s="1"/>
  <c r="AJ54" i="1"/>
  <c r="AK53" i="1" s="1"/>
  <c r="AJ51" i="1"/>
  <c r="AK50" i="1" s="1"/>
  <c r="AJ48" i="1"/>
  <c r="AK47" i="1" s="1"/>
  <c r="AI45" i="1"/>
  <c r="AJ44" i="1" s="1"/>
  <c r="AK57" i="1" l="1"/>
  <c r="AL56" i="1" s="1"/>
  <c r="AK54" i="1"/>
  <c r="AL53" i="1" s="1"/>
  <c r="AK51" i="1"/>
  <c r="AL50" i="1" s="1"/>
  <c r="AK48" i="1"/>
  <c r="AL47" i="1" s="1"/>
  <c r="AJ45" i="1"/>
  <c r="AK44" i="1" s="1"/>
  <c r="AL57" i="1" l="1"/>
  <c r="AM56" i="1" s="1"/>
  <c r="AL54" i="1"/>
  <c r="AM53" i="1" s="1"/>
  <c r="AL51" i="1"/>
  <c r="AM50" i="1" s="1"/>
  <c r="AL48" i="1"/>
  <c r="AM47" i="1" s="1"/>
  <c r="AK45" i="1"/>
  <c r="AL44" i="1" s="1"/>
  <c r="AM57" i="1" l="1"/>
  <c r="AN56" i="1" s="1"/>
  <c r="AM54" i="1"/>
  <c r="AN53" i="1" s="1"/>
  <c r="AM51" i="1"/>
  <c r="AN50" i="1" s="1"/>
  <c r="AM48" i="1"/>
  <c r="AN47" i="1" s="1"/>
  <c r="AL45" i="1"/>
  <c r="AM44" i="1" s="1"/>
  <c r="AN57" i="1" l="1"/>
  <c r="AO56" i="1" s="1"/>
  <c r="AN54" i="1"/>
  <c r="AO53" i="1" s="1"/>
  <c r="AN51" i="1"/>
  <c r="AO50" i="1" s="1"/>
  <c r="AN48" i="1"/>
  <c r="AO47" i="1" s="1"/>
  <c r="AM45" i="1"/>
  <c r="AN44" i="1" s="1"/>
  <c r="AO57" i="1" l="1"/>
  <c r="AP56" i="1" s="1"/>
  <c r="AO54" i="1"/>
  <c r="AP53" i="1" s="1"/>
  <c r="AO51" i="1"/>
  <c r="AP50" i="1" s="1"/>
  <c r="AO48" i="1"/>
  <c r="AP47" i="1" s="1"/>
  <c r="AN45" i="1"/>
  <c r="AO44" i="1" s="1"/>
  <c r="AP57" i="1" l="1"/>
  <c r="AQ56" i="1" s="1"/>
  <c r="AP54" i="1"/>
  <c r="AQ53" i="1" s="1"/>
  <c r="AP51" i="1"/>
  <c r="AQ50" i="1" s="1"/>
  <c r="AP48" i="1"/>
  <c r="AQ47" i="1" s="1"/>
  <c r="AO45" i="1"/>
  <c r="AP44" i="1" s="1"/>
  <c r="AQ57" i="1" l="1"/>
  <c r="AR56" i="1" s="1"/>
  <c r="AQ54" i="1"/>
  <c r="AR53" i="1" s="1"/>
  <c r="AQ51" i="1"/>
  <c r="AR50" i="1" s="1"/>
  <c r="AQ48" i="1"/>
  <c r="AR47" i="1" s="1"/>
  <c r="AP45" i="1"/>
  <c r="AQ44" i="1" s="1"/>
  <c r="AR57" i="1" l="1"/>
  <c r="AS56" i="1" s="1"/>
  <c r="AR54" i="1"/>
  <c r="AS53" i="1" s="1"/>
  <c r="AR51" i="1"/>
  <c r="AS50" i="1" s="1"/>
  <c r="AR48" i="1"/>
  <c r="AS47" i="1" s="1"/>
  <c r="AQ45" i="1"/>
  <c r="AR44" i="1" s="1"/>
  <c r="AS57" i="1" l="1"/>
  <c r="AT56" i="1" s="1"/>
  <c r="AS54" i="1"/>
  <c r="AT53" i="1" s="1"/>
  <c r="AS51" i="1"/>
  <c r="AT50" i="1" s="1"/>
  <c r="AS48" i="1"/>
  <c r="AT47" i="1" s="1"/>
  <c r="AR45" i="1"/>
  <c r="AS44" i="1" s="1"/>
  <c r="AT57" i="1" l="1"/>
  <c r="AU56" i="1" s="1"/>
  <c r="AT54" i="1"/>
  <c r="AU53" i="1" s="1"/>
  <c r="AT51" i="1"/>
  <c r="AU50" i="1" s="1"/>
  <c r="AT48" i="1"/>
  <c r="AU47" i="1" s="1"/>
  <c r="AS45" i="1"/>
  <c r="AT44" i="1" s="1"/>
  <c r="AU57" i="1" l="1"/>
  <c r="AV56" i="1" s="1"/>
  <c r="AU54" i="1"/>
  <c r="AV53" i="1" s="1"/>
  <c r="AU51" i="1"/>
  <c r="AV50" i="1" s="1"/>
  <c r="AU48" i="1"/>
  <c r="AV47" i="1" s="1"/>
  <c r="AT45" i="1"/>
  <c r="AU44" i="1" s="1"/>
  <c r="AV57" i="1" l="1"/>
  <c r="AW56" i="1" s="1"/>
  <c r="AV54" i="1"/>
  <c r="AW53" i="1" s="1"/>
  <c r="AV51" i="1"/>
  <c r="AW50" i="1" s="1"/>
  <c r="AV48" i="1"/>
  <c r="AW47" i="1" s="1"/>
  <c r="AU45" i="1"/>
  <c r="AV44" i="1" s="1"/>
  <c r="AW57" i="1" l="1"/>
  <c r="AX56" i="1" s="1"/>
  <c r="AW54" i="1"/>
  <c r="AX53" i="1" s="1"/>
  <c r="AW51" i="1"/>
  <c r="AX50" i="1" s="1"/>
  <c r="AW48" i="1"/>
  <c r="AX47" i="1" s="1"/>
  <c r="AV45" i="1"/>
  <c r="AW44" i="1" s="1"/>
  <c r="AX57" i="1" l="1"/>
  <c r="AY56" i="1" s="1"/>
  <c r="AX54" i="1"/>
  <c r="AY53" i="1" s="1"/>
  <c r="AX51" i="1"/>
  <c r="AY50" i="1" s="1"/>
  <c r="AX48" i="1"/>
  <c r="AY47" i="1" s="1"/>
  <c r="AW45" i="1"/>
  <c r="AX44" i="1" s="1"/>
  <c r="AY57" i="1" l="1"/>
  <c r="AZ56" i="1" s="1"/>
  <c r="AY54" i="1"/>
  <c r="AZ53" i="1" s="1"/>
  <c r="AY51" i="1"/>
  <c r="AZ50" i="1" s="1"/>
  <c r="AY48" i="1"/>
  <c r="AZ47" i="1" s="1"/>
  <c r="AX45" i="1"/>
  <c r="AY44" i="1" s="1"/>
  <c r="AZ57" i="1" l="1"/>
  <c r="BA56" i="1" s="1"/>
  <c r="AZ54" i="1"/>
  <c r="BA53" i="1" s="1"/>
  <c r="AZ51" i="1"/>
  <c r="BA50" i="1" s="1"/>
  <c r="AZ48" i="1"/>
  <c r="BA47" i="1" s="1"/>
  <c r="AY45" i="1"/>
  <c r="AZ44" i="1" s="1"/>
  <c r="BA57" i="1" l="1"/>
  <c r="BB56" i="1" s="1"/>
  <c r="BA54" i="1"/>
  <c r="BB53" i="1" s="1"/>
  <c r="BA51" i="1"/>
  <c r="BB50" i="1" s="1"/>
  <c r="BA48" i="1"/>
  <c r="BB47" i="1" s="1"/>
  <c r="AZ45" i="1"/>
  <c r="BA44" i="1" s="1"/>
  <c r="BB57" i="1" l="1"/>
  <c r="BC56" i="1" s="1"/>
  <c r="BB54" i="1"/>
  <c r="BC53" i="1" s="1"/>
  <c r="BB51" i="1"/>
  <c r="BC50" i="1" s="1"/>
  <c r="BB48" i="1"/>
  <c r="BC47" i="1" s="1"/>
  <c r="BA45" i="1"/>
  <c r="BB44" i="1" s="1"/>
  <c r="BC57" i="1" l="1"/>
  <c r="BD56" i="1" s="1"/>
  <c r="BC54" i="1"/>
  <c r="BD53" i="1" s="1"/>
  <c r="BC51" i="1"/>
  <c r="BD50" i="1" s="1"/>
  <c r="BC48" i="1"/>
  <c r="BD47" i="1" s="1"/>
  <c r="BB45" i="1"/>
  <c r="BC44" i="1" s="1"/>
  <c r="BD57" i="1" l="1"/>
  <c r="BE56" i="1" s="1"/>
  <c r="BD54" i="1"/>
  <c r="BE53" i="1" s="1"/>
  <c r="BD51" i="1"/>
  <c r="BE50" i="1" s="1"/>
  <c r="BD48" i="1"/>
  <c r="BE47" i="1" s="1"/>
  <c r="BC45" i="1"/>
  <c r="BD44" i="1" s="1"/>
  <c r="BE57" i="1" l="1"/>
  <c r="BF56" i="1" s="1"/>
  <c r="BE54" i="1"/>
  <c r="BF53" i="1" s="1"/>
  <c r="BE51" i="1"/>
  <c r="BF50" i="1" s="1"/>
  <c r="BE48" i="1"/>
  <c r="BF47" i="1" s="1"/>
  <c r="BD45" i="1"/>
  <c r="BE44" i="1" s="1"/>
  <c r="BF57" i="1" l="1"/>
  <c r="BG56" i="1" s="1"/>
  <c r="BF54" i="1"/>
  <c r="BG53" i="1" s="1"/>
  <c r="BF51" i="1"/>
  <c r="BG50" i="1" s="1"/>
  <c r="BF48" i="1"/>
  <c r="BG47" i="1" s="1"/>
  <c r="BE45" i="1"/>
  <c r="BF44" i="1" s="1"/>
  <c r="BG57" i="1" l="1"/>
  <c r="BH56" i="1" s="1"/>
  <c r="BG54" i="1"/>
  <c r="BH53" i="1" s="1"/>
  <c r="BG51" i="1"/>
  <c r="BH50" i="1" s="1"/>
  <c r="BG48" i="1"/>
  <c r="BH47" i="1" s="1"/>
  <c r="BF45" i="1"/>
  <c r="BG44" i="1" s="1"/>
  <c r="BH57" i="1" l="1"/>
  <c r="BI56" i="1" s="1"/>
  <c r="BH54" i="1"/>
  <c r="BI53" i="1" s="1"/>
  <c r="BH51" i="1"/>
  <c r="BI50" i="1" s="1"/>
  <c r="BH48" i="1"/>
  <c r="BI47" i="1" s="1"/>
  <c r="BG45" i="1"/>
  <c r="BH44" i="1" s="1"/>
  <c r="BI57" i="1" l="1"/>
  <c r="BJ56" i="1" s="1"/>
  <c r="BI54" i="1"/>
  <c r="BJ53" i="1" s="1"/>
  <c r="BI51" i="1"/>
  <c r="BJ50" i="1" s="1"/>
  <c r="BI48" i="1"/>
  <c r="BJ47" i="1" s="1"/>
  <c r="BH45" i="1"/>
  <c r="BI44" i="1" s="1"/>
  <c r="BJ57" i="1" l="1"/>
  <c r="BK56" i="1" s="1"/>
  <c r="BJ54" i="1"/>
  <c r="BK53" i="1" s="1"/>
  <c r="BJ51" i="1"/>
  <c r="BK50" i="1" s="1"/>
  <c r="BJ48" i="1"/>
  <c r="BK47" i="1" s="1"/>
  <c r="BI45" i="1"/>
  <c r="BJ44" i="1" s="1"/>
  <c r="BK57" i="1" l="1"/>
  <c r="BL56" i="1" s="1"/>
  <c r="BK54" i="1"/>
  <c r="BL53" i="1" s="1"/>
  <c r="BK51" i="1"/>
  <c r="BL50" i="1" s="1"/>
  <c r="BK48" i="1"/>
  <c r="BL47" i="1" s="1"/>
  <c r="BJ45" i="1"/>
  <c r="BK44" i="1" s="1"/>
  <c r="BL57" i="1" l="1"/>
  <c r="BM56" i="1" s="1"/>
  <c r="BL54" i="1"/>
  <c r="BM53" i="1" s="1"/>
  <c r="BL51" i="1"/>
  <c r="BM50" i="1" s="1"/>
  <c r="BL48" i="1"/>
  <c r="BM47" i="1" s="1"/>
  <c r="BK45" i="1"/>
  <c r="BL44" i="1" s="1"/>
  <c r="BM57" i="1" l="1"/>
  <c r="BN56" i="1" s="1"/>
  <c r="BM54" i="1"/>
  <c r="BN53" i="1" s="1"/>
  <c r="BM51" i="1"/>
  <c r="BN50" i="1" s="1"/>
  <c r="BM48" i="1"/>
  <c r="BN47" i="1" s="1"/>
  <c r="BL45" i="1"/>
  <c r="BM44" i="1" s="1"/>
  <c r="BN57" i="1" l="1"/>
  <c r="BO56" i="1" s="1"/>
  <c r="BN54" i="1"/>
  <c r="BO53" i="1" s="1"/>
  <c r="BN51" i="1"/>
  <c r="BO50" i="1" s="1"/>
  <c r="BN48" i="1"/>
  <c r="BO47" i="1" s="1"/>
  <c r="BM45" i="1"/>
  <c r="BN44" i="1" s="1"/>
  <c r="BO57" i="1" l="1"/>
  <c r="BP56" i="1" s="1"/>
  <c r="BO54" i="1"/>
  <c r="BP53" i="1" s="1"/>
  <c r="BO51" i="1"/>
  <c r="BP50" i="1" s="1"/>
  <c r="BO48" i="1"/>
  <c r="BP47" i="1" s="1"/>
  <c r="BN45" i="1"/>
  <c r="BO44" i="1" s="1"/>
  <c r="BP57" i="1" l="1"/>
  <c r="BQ56" i="1" s="1"/>
  <c r="BP54" i="1"/>
  <c r="BQ53" i="1" s="1"/>
  <c r="BP51" i="1"/>
  <c r="BQ50" i="1" s="1"/>
  <c r="BP48" i="1"/>
  <c r="BQ47" i="1" s="1"/>
  <c r="BO45" i="1"/>
  <c r="BP44" i="1" s="1"/>
  <c r="BQ57" i="1" l="1"/>
  <c r="BR56" i="1" s="1"/>
  <c r="BQ54" i="1"/>
  <c r="BR53" i="1" s="1"/>
  <c r="BQ51" i="1"/>
  <c r="BR50" i="1" s="1"/>
  <c r="BQ48" i="1"/>
  <c r="BR47" i="1" s="1"/>
  <c r="BP45" i="1"/>
  <c r="BQ44" i="1" s="1"/>
  <c r="BR57" i="1" l="1"/>
  <c r="BS56" i="1" s="1"/>
  <c r="BR54" i="1"/>
  <c r="BS53" i="1" s="1"/>
  <c r="BR51" i="1"/>
  <c r="BS50" i="1" s="1"/>
  <c r="BR48" i="1"/>
  <c r="BS47" i="1" s="1"/>
  <c r="BQ45" i="1"/>
  <c r="BR44" i="1" s="1"/>
  <c r="BS57" i="1" l="1"/>
  <c r="BT56" i="1" s="1"/>
  <c r="BS54" i="1"/>
  <c r="BT53" i="1" s="1"/>
  <c r="BS51" i="1"/>
  <c r="BT50" i="1" s="1"/>
  <c r="BS48" i="1"/>
  <c r="BT47" i="1" s="1"/>
  <c r="BR45" i="1"/>
  <c r="BS44" i="1" s="1"/>
  <c r="BT57" i="1" l="1"/>
  <c r="BU56" i="1" s="1"/>
  <c r="BT54" i="1"/>
  <c r="BU53" i="1" s="1"/>
  <c r="BT51" i="1"/>
  <c r="BU50" i="1" s="1"/>
  <c r="BT48" i="1"/>
  <c r="BU47" i="1" s="1"/>
  <c r="BS45" i="1"/>
  <c r="BT44" i="1" s="1"/>
  <c r="BU57" i="1" l="1"/>
  <c r="BV56" i="1" s="1"/>
  <c r="BU54" i="1"/>
  <c r="BV53" i="1" s="1"/>
  <c r="BU51" i="1"/>
  <c r="BV50" i="1" s="1"/>
  <c r="BU48" i="1"/>
  <c r="BV47" i="1" s="1"/>
  <c r="BT45" i="1"/>
  <c r="BU44" i="1" s="1"/>
  <c r="BV57" i="1" l="1"/>
  <c r="BW56" i="1" s="1"/>
  <c r="BV54" i="1"/>
  <c r="BW53" i="1" s="1"/>
  <c r="BV51" i="1"/>
  <c r="BW50" i="1" s="1"/>
  <c r="BV48" i="1"/>
  <c r="BW47" i="1" s="1"/>
  <c r="BU45" i="1"/>
  <c r="BV44" i="1" s="1"/>
  <c r="BW57" i="1" l="1"/>
  <c r="BX56" i="1" s="1"/>
  <c r="BW54" i="1"/>
  <c r="BX53" i="1" s="1"/>
  <c r="BW51" i="1"/>
  <c r="BX50" i="1" s="1"/>
  <c r="BW48" i="1"/>
  <c r="BX47" i="1" s="1"/>
  <c r="BV45" i="1"/>
  <c r="BW44" i="1" s="1"/>
  <c r="BX57" i="1" l="1"/>
  <c r="BY56" i="1" s="1"/>
  <c r="BX54" i="1"/>
  <c r="BY53" i="1" s="1"/>
  <c r="BX51" i="1"/>
  <c r="BY50" i="1" s="1"/>
  <c r="BX48" i="1"/>
  <c r="BY47" i="1" s="1"/>
  <c r="BW45" i="1"/>
  <c r="BX44" i="1" s="1"/>
  <c r="BY57" i="1" l="1"/>
  <c r="BZ56" i="1" s="1"/>
  <c r="BY54" i="1"/>
  <c r="BZ53" i="1" s="1"/>
  <c r="BY51" i="1"/>
  <c r="BZ50" i="1" s="1"/>
  <c r="BY48" i="1"/>
  <c r="BZ47" i="1" s="1"/>
  <c r="BX45" i="1"/>
  <c r="BY44" i="1" s="1"/>
  <c r="BZ57" i="1" l="1"/>
  <c r="CA56" i="1" s="1"/>
  <c r="BZ54" i="1"/>
  <c r="CA53" i="1" s="1"/>
  <c r="BZ51" i="1"/>
  <c r="CA50" i="1" s="1"/>
  <c r="BZ48" i="1"/>
  <c r="CA47" i="1" s="1"/>
  <c r="BY45" i="1"/>
  <c r="BZ44" i="1" s="1"/>
  <c r="CA57" i="1" l="1"/>
  <c r="CB56" i="1" s="1"/>
  <c r="CA54" i="1"/>
  <c r="CB53" i="1" s="1"/>
  <c r="CA51" i="1"/>
  <c r="CB50" i="1" s="1"/>
  <c r="CA48" i="1"/>
  <c r="CB47" i="1" s="1"/>
  <c r="BZ45" i="1"/>
  <c r="CA44" i="1" s="1"/>
  <c r="CB57" i="1" l="1"/>
  <c r="CC56" i="1" s="1"/>
  <c r="CB54" i="1"/>
  <c r="CC53" i="1" s="1"/>
  <c r="CB51" i="1"/>
  <c r="CC50" i="1" s="1"/>
  <c r="CB48" i="1"/>
  <c r="CC47" i="1" s="1"/>
  <c r="CA45" i="1"/>
  <c r="CB44" i="1" s="1"/>
  <c r="CC57" i="1" l="1"/>
  <c r="CD56" i="1" s="1"/>
  <c r="CC54" i="1"/>
  <c r="CD53" i="1" s="1"/>
  <c r="CC51" i="1"/>
  <c r="CD50" i="1" s="1"/>
  <c r="CC48" i="1"/>
  <c r="CD47" i="1" s="1"/>
  <c r="CB45" i="1"/>
  <c r="CC44" i="1" s="1"/>
  <c r="CD57" i="1" l="1"/>
  <c r="CE56" i="1" s="1"/>
  <c r="CD54" i="1"/>
  <c r="CE53" i="1" s="1"/>
  <c r="CD51" i="1"/>
  <c r="CE50" i="1" s="1"/>
  <c r="CD48" i="1"/>
  <c r="CE47" i="1" s="1"/>
  <c r="CC45" i="1"/>
  <c r="CD44" i="1" s="1"/>
  <c r="CE57" i="1" l="1"/>
  <c r="CF56" i="1" s="1"/>
  <c r="CE54" i="1"/>
  <c r="CF53" i="1" s="1"/>
  <c r="CE51" i="1"/>
  <c r="CF50" i="1" s="1"/>
  <c r="CE48" i="1"/>
  <c r="CF47" i="1" s="1"/>
  <c r="CD45" i="1"/>
  <c r="CE44" i="1" s="1"/>
  <c r="CF57" i="1" l="1"/>
  <c r="CG56" i="1" s="1"/>
  <c r="CF54" i="1"/>
  <c r="CG53" i="1" s="1"/>
  <c r="CF51" i="1"/>
  <c r="CG50" i="1" s="1"/>
  <c r="CF48" i="1"/>
  <c r="CG47" i="1" s="1"/>
  <c r="CE45" i="1"/>
  <c r="CF44" i="1" s="1"/>
  <c r="CG57" i="1" l="1"/>
  <c r="CH56" i="1" s="1"/>
  <c r="CG54" i="1"/>
  <c r="CH53" i="1" s="1"/>
  <c r="CG51" i="1"/>
  <c r="CH50" i="1" s="1"/>
  <c r="CG48" i="1"/>
  <c r="CH47" i="1" s="1"/>
  <c r="CF45" i="1"/>
  <c r="CG44" i="1" s="1"/>
  <c r="CH57" i="1" l="1"/>
  <c r="CI56" i="1" s="1"/>
  <c r="CH54" i="1"/>
  <c r="CI53" i="1" s="1"/>
  <c r="CH51" i="1"/>
  <c r="CI50" i="1" s="1"/>
  <c r="CH48" i="1"/>
  <c r="CI47" i="1" s="1"/>
  <c r="CG45" i="1"/>
  <c r="CH44" i="1" s="1"/>
  <c r="CI57" i="1" l="1"/>
  <c r="CJ56" i="1" s="1"/>
  <c r="CI54" i="1"/>
  <c r="CJ53" i="1" s="1"/>
  <c r="CI51" i="1"/>
  <c r="CJ50" i="1" s="1"/>
  <c r="CI48" i="1"/>
  <c r="CJ47" i="1" s="1"/>
  <c r="CH45" i="1"/>
  <c r="CI44" i="1" s="1"/>
  <c r="CJ57" i="1" l="1"/>
  <c r="CK56" i="1" s="1"/>
  <c r="CJ54" i="1"/>
  <c r="CK53" i="1" s="1"/>
  <c r="CJ51" i="1"/>
  <c r="CK50" i="1" s="1"/>
  <c r="CJ48" i="1"/>
  <c r="CK47" i="1" s="1"/>
  <c r="CI45" i="1"/>
  <c r="CJ44" i="1" s="1"/>
  <c r="CK57" i="1" l="1"/>
  <c r="CL56" i="1" s="1"/>
  <c r="CK54" i="1"/>
  <c r="CL53" i="1" s="1"/>
  <c r="CK51" i="1"/>
  <c r="CL50" i="1" s="1"/>
  <c r="CK48" i="1"/>
  <c r="CL47" i="1" s="1"/>
  <c r="CJ45" i="1"/>
  <c r="CK44" i="1" s="1"/>
  <c r="CL57" i="1" l="1"/>
  <c r="CM56" i="1" s="1"/>
  <c r="CL54" i="1"/>
  <c r="CM53" i="1" s="1"/>
  <c r="CL51" i="1"/>
  <c r="CM50" i="1" s="1"/>
  <c r="CL48" i="1"/>
  <c r="CM47" i="1" s="1"/>
  <c r="CK45" i="1"/>
  <c r="CL44" i="1" s="1"/>
  <c r="CM57" i="1" l="1"/>
  <c r="CN56" i="1" s="1"/>
  <c r="CM54" i="1"/>
  <c r="CN53" i="1" s="1"/>
  <c r="CM51" i="1"/>
  <c r="CN50" i="1" s="1"/>
  <c r="CM48" i="1"/>
  <c r="CN47" i="1" s="1"/>
  <c r="CL45" i="1"/>
  <c r="CM44" i="1" s="1"/>
  <c r="CN57" i="1" l="1"/>
  <c r="CO56" i="1" s="1"/>
  <c r="CN54" i="1"/>
  <c r="CO53" i="1" s="1"/>
  <c r="CN51" i="1"/>
  <c r="CO50" i="1" s="1"/>
  <c r="CN48" i="1"/>
  <c r="CO47" i="1" s="1"/>
  <c r="CM45" i="1"/>
  <c r="CN44" i="1" s="1"/>
  <c r="CO57" i="1" l="1"/>
  <c r="CP56" i="1" s="1"/>
  <c r="CO54" i="1"/>
  <c r="CP53" i="1" s="1"/>
  <c r="CO51" i="1"/>
  <c r="CP50" i="1" s="1"/>
  <c r="CO48" i="1"/>
  <c r="CP47" i="1" s="1"/>
  <c r="CN45" i="1"/>
  <c r="CO44" i="1" s="1"/>
  <c r="CP57" i="1" l="1"/>
  <c r="CQ56" i="1" s="1"/>
  <c r="CP54" i="1"/>
  <c r="CQ53" i="1" s="1"/>
  <c r="CP51" i="1"/>
  <c r="CQ50" i="1" s="1"/>
  <c r="CP48" i="1"/>
  <c r="CQ47" i="1" s="1"/>
  <c r="CO45" i="1"/>
  <c r="CP44" i="1" s="1"/>
  <c r="CQ57" i="1" l="1"/>
  <c r="CR56" i="1" s="1"/>
  <c r="CQ54" i="1"/>
  <c r="CR53" i="1" s="1"/>
  <c r="CQ51" i="1"/>
  <c r="CR50" i="1" s="1"/>
  <c r="CQ48" i="1"/>
  <c r="CR47" i="1" s="1"/>
  <c r="CP45" i="1"/>
  <c r="CQ44" i="1" s="1"/>
  <c r="CR57" i="1" l="1"/>
  <c r="CS56" i="1" s="1"/>
  <c r="CR54" i="1"/>
  <c r="CS53" i="1" s="1"/>
  <c r="CR51" i="1"/>
  <c r="CS50" i="1" s="1"/>
  <c r="CR48" i="1"/>
  <c r="CS47" i="1" s="1"/>
  <c r="CQ45" i="1"/>
  <c r="CR44" i="1" s="1"/>
  <c r="CS57" i="1" l="1"/>
  <c r="CT56" i="1" s="1"/>
  <c r="CS54" i="1"/>
  <c r="CT53" i="1" s="1"/>
  <c r="CS51" i="1"/>
  <c r="CT50" i="1" s="1"/>
  <c r="CS48" i="1"/>
  <c r="CT47" i="1" s="1"/>
  <c r="CR45" i="1"/>
  <c r="CS44" i="1" s="1"/>
  <c r="CT57" i="1" l="1"/>
  <c r="CU56" i="1" s="1"/>
  <c r="CT54" i="1"/>
  <c r="CU53" i="1" s="1"/>
  <c r="CT51" i="1"/>
  <c r="CU50" i="1" s="1"/>
  <c r="CT48" i="1"/>
  <c r="CU47" i="1" s="1"/>
  <c r="CS45" i="1"/>
  <c r="CT44" i="1" s="1"/>
  <c r="CU57" i="1" l="1"/>
  <c r="CV56" i="1" s="1"/>
  <c r="CU54" i="1"/>
  <c r="CV53" i="1" s="1"/>
  <c r="CU51" i="1"/>
  <c r="CV50" i="1" s="1"/>
  <c r="CU48" i="1"/>
  <c r="CV47" i="1" s="1"/>
  <c r="CT45" i="1"/>
  <c r="CU44" i="1" s="1"/>
  <c r="CV57" i="1" l="1"/>
  <c r="CW56" i="1" s="1"/>
  <c r="CV54" i="1"/>
  <c r="CW53" i="1" s="1"/>
  <c r="CV51" i="1"/>
  <c r="CW50" i="1" s="1"/>
  <c r="CV48" i="1"/>
  <c r="CW47" i="1" s="1"/>
  <c r="CU45" i="1"/>
  <c r="CV44" i="1" s="1"/>
  <c r="CW57" i="1" l="1"/>
  <c r="DA55" i="1" s="1"/>
  <c r="DL55" i="1" s="1"/>
  <c r="CW54" i="1"/>
  <c r="DF52" i="1" s="1"/>
  <c r="DQ52" i="1" s="1"/>
  <c r="CW51" i="1"/>
  <c r="CY49" i="1" s="1"/>
  <c r="DJ49" i="1" s="1"/>
  <c r="CW48" i="1"/>
  <c r="DD46" i="1" s="1"/>
  <c r="DO46" i="1" s="1"/>
  <c r="CV45" i="1"/>
  <c r="CW44" i="1" s="1"/>
  <c r="DC55" i="1" l="1"/>
  <c r="DN55" i="1" s="1"/>
  <c r="DB55" i="1"/>
  <c r="DM55" i="1" s="1"/>
  <c r="CZ55" i="1"/>
  <c r="DK55" i="1" s="1"/>
  <c r="CY55" i="1"/>
  <c r="DJ55" i="1" s="1"/>
  <c r="CX55" i="1"/>
  <c r="DI55" i="1" s="1"/>
  <c r="DG55" i="1"/>
  <c r="DR55" i="1" s="1"/>
  <c r="DF55" i="1"/>
  <c r="DQ55" i="1" s="1"/>
  <c r="DE55" i="1"/>
  <c r="DP55" i="1" s="1"/>
  <c r="DD55" i="1"/>
  <c r="DO55" i="1" s="1"/>
  <c r="DD52" i="1"/>
  <c r="DO52" i="1" s="1"/>
  <c r="DE52" i="1"/>
  <c r="DP52" i="1" s="1"/>
  <c r="DA52" i="1"/>
  <c r="DL52" i="1" s="1"/>
  <c r="CZ52" i="1"/>
  <c r="DK52" i="1" s="1"/>
  <c r="CY52" i="1"/>
  <c r="DJ52" i="1" s="1"/>
  <c r="DC52" i="1"/>
  <c r="DN52" i="1" s="1"/>
  <c r="DB52" i="1"/>
  <c r="DM52" i="1" s="1"/>
  <c r="CX52" i="1"/>
  <c r="DI52" i="1" s="1"/>
  <c r="DG52" i="1"/>
  <c r="DR52" i="1" s="1"/>
  <c r="DB49" i="1"/>
  <c r="DM49" i="1" s="1"/>
  <c r="CX49" i="1"/>
  <c r="DI49" i="1" s="1"/>
  <c r="DG49" i="1"/>
  <c r="DR49" i="1" s="1"/>
  <c r="DF49" i="1"/>
  <c r="DQ49" i="1" s="1"/>
  <c r="DE49" i="1"/>
  <c r="DP49" i="1" s="1"/>
  <c r="DD49" i="1"/>
  <c r="DO49" i="1" s="1"/>
  <c r="DC49" i="1"/>
  <c r="DN49" i="1" s="1"/>
  <c r="DA49" i="1"/>
  <c r="DL49" i="1" s="1"/>
  <c r="CZ49" i="1"/>
  <c r="DK49" i="1" s="1"/>
  <c r="DC46" i="1"/>
  <c r="DN46" i="1" s="1"/>
  <c r="DA46" i="1"/>
  <c r="DL46" i="1" s="1"/>
  <c r="CZ46" i="1"/>
  <c r="DK46" i="1" s="1"/>
  <c r="CY46" i="1"/>
  <c r="DJ46" i="1" s="1"/>
  <c r="CX46" i="1"/>
  <c r="DI46" i="1" s="1"/>
  <c r="DG46" i="1"/>
  <c r="DR46" i="1" s="1"/>
  <c r="DF46" i="1"/>
  <c r="DQ46" i="1" s="1"/>
  <c r="DE46" i="1"/>
  <c r="DP46" i="1" s="1"/>
  <c r="DB46" i="1"/>
  <c r="DM46" i="1" s="1"/>
  <c r="CW45" i="1"/>
  <c r="CY43" i="1" s="1"/>
  <c r="DJ43" i="1" s="1"/>
  <c r="DS55" i="1" l="1"/>
  <c r="DS52" i="1"/>
  <c r="DS49" i="1"/>
  <c r="DS46" i="1"/>
  <c r="CX43" i="1"/>
  <c r="DI43" i="1" s="1"/>
  <c r="DG43" i="1"/>
  <c r="DR43" i="1" s="1"/>
  <c r="DF43" i="1"/>
  <c r="DQ43" i="1" s="1"/>
  <c r="DE43" i="1"/>
  <c r="DP43" i="1" s="1"/>
  <c r="DD43" i="1"/>
  <c r="DO43" i="1" s="1"/>
  <c r="DC43" i="1"/>
  <c r="DN43" i="1" s="1"/>
  <c r="DB43" i="1"/>
  <c r="DM43" i="1" s="1"/>
  <c r="DA43" i="1"/>
  <c r="DL43" i="1" s="1"/>
  <c r="CZ43" i="1"/>
  <c r="DK43" i="1" s="1"/>
  <c r="DS43" i="1" l="1"/>
</calcChain>
</file>

<file path=xl/sharedStrings.xml><?xml version="1.0" encoding="utf-8"?>
<sst xmlns="http://schemas.openxmlformats.org/spreadsheetml/2006/main" count="1234" uniqueCount="164">
  <si>
    <t>Item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</si>
  <si>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</si>
  <si>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</si>
  <si>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</si>
  <si>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</si>
  <si>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</si>
  <si>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</si>
  <si>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</si>
  <si>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</si>
  <si>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</si>
  <si>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</si>
  <si>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Week11</t>
  </si>
  <si>
    <t>Week12</t>
  </si>
  <si>
    <t>Week13</t>
  </si>
  <si>
    <t>Week14</t>
  </si>
  <si>
    <t>Week15</t>
  </si>
  <si>
    <t>Week16</t>
  </si>
  <si>
    <t>Week17</t>
  </si>
  <si>
    <t>Week18</t>
  </si>
  <si>
    <t>Week19</t>
  </si>
  <si>
    <t>Week20</t>
  </si>
  <si>
    <t>Week21</t>
  </si>
  <si>
    <t>Week22</t>
  </si>
  <si>
    <t>Week23</t>
  </si>
  <si>
    <t>Week24</t>
  </si>
  <si>
    <t>Week25</t>
  </si>
  <si>
    <t>Week26</t>
  </si>
  <si>
    <t>Week27</t>
  </si>
  <si>
    <t>Week28</t>
  </si>
  <si>
    <t>Week29</t>
  </si>
  <si>
    <t>Week30</t>
  </si>
  <si>
    <t>Week31</t>
  </si>
  <si>
    <t>Week32</t>
  </si>
  <si>
    <t>Week33</t>
  </si>
  <si>
    <t>Week34</t>
  </si>
  <si>
    <t>Week35</t>
  </si>
  <si>
    <t>Week36</t>
  </si>
  <si>
    <t>Week37</t>
  </si>
  <si>
    <t>Week38</t>
  </si>
  <si>
    <t>Week39</t>
  </si>
  <si>
    <t>Week40</t>
  </si>
  <si>
    <t>Week41</t>
  </si>
  <si>
    <t>Week42</t>
  </si>
  <si>
    <t>Week43</t>
  </si>
  <si>
    <t>Week44</t>
  </si>
  <si>
    <t>Week45</t>
  </si>
  <si>
    <t>Week46</t>
  </si>
  <si>
    <t>Week47</t>
  </si>
  <si>
    <t>Week48</t>
  </si>
  <si>
    <t>Week49</t>
  </si>
  <si>
    <t>Week50</t>
  </si>
  <si>
    <t>Week51</t>
  </si>
  <si>
    <t>Week52</t>
  </si>
  <si>
    <t>Week53</t>
  </si>
  <si>
    <t>Week54</t>
  </si>
  <si>
    <t>Week55</t>
  </si>
  <si>
    <t>Week56</t>
  </si>
  <si>
    <t>Week57</t>
  </si>
  <si>
    <t>Week58</t>
  </si>
  <si>
    <t>Week59</t>
  </si>
  <si>
    <t>Week60</t>
  </si>
  <si>
    <t>Week61</t>
  </si>
  <si>
    <t>Week62</t>
  </si>
  <si>
    <t>Week63</t>
  </si>
  <si>
    <t>Week64</t>
  </si>
  <si>
    <t>Week65</t>
  </si>
  <si>
    <t>Week66</t>
  </si>
  <si>
    <t>Week67</t>
  </si>
  <si>
    <t>Week68</t>
  </si>
  <si>
    <t>Week69</t>
  </si>
  <si>
    <t>Week70</t>
  </si>
  <si>
    <t>Week71</t>
  </si>
  <si>
    <t>Week72</t>
  </si>
  <si>
    <t>Week73</t>
  </si>
  <si>
    <t>Week74</t>
  </si>
  <si>
    <t>Week75</t>
  </si>
  <si>
    <t>Week76</t>
  </si>
  <si>
    <t>Week77</t>
  </si>
  <si>
    <t>Week78</t>
  </si>
  <si>
    <t>Week79</t>
  </si>
  <si>
    <t>Week80</t>
  </si>
  <si>
    <t>Week81</t>
  </si>
  <si>
    <t>Week82</t>
  </si>
  <si>
    <t>Week83</t>
  </si>
  <si>
    <t>Week84</t>
  </si>
  <si>
    <t>Week85</t>
  </si>
  <si>
    <t>Week86</t>
  </si>
  <si>
    <t>Week87</t>
  </si>
  <si>
    <t>Week88</t>
  </si>
  <si>
    <t>Week89</t>
  </si>
  <si>
    <t>Week90</t>
  </si>
  <si>
    <t>Week91</t>
  </si>
  <si>
    <t>Week92</t>
  </si>
  <si>
    <t>Week93</t>
  </si>
  <si>
    <t>Week94</t>
  </si>
  <si>
    <t>Week95</t>
  </si>
  <si>
    <t>Week96</t>
  </si>
  <si>
    <t>Week97</t>
  </si>
  <si>
    <t>Week98</t>
  </si>
  <si>
    <t>Week99</t>
  </si>
  <si>
    <t>Week100</t>
  </si>
  <si>
    <t>Week101</t>
  </si>
  <si>
    <t>Week102</t>
  </si>
  <si>
    <t>Week103</t>
  </si>
  <si>
    <t>Week104</t>
  </si>
  <si>
    <t>Week105</t>
  </si>
  <si>
    <t>Week106</t>
  </si>
  <si>
    <t>Week107</t>
  </si>
  <si>
    <t>Week108</t>
  </si>
  <si>
    <t>Week109</t>
  </si>
  <si>
    <t>Week110</t>
  </si>
  <si>
    <t>A</t>
  </si>
  <si>
    <t>B</t>
  </si>
  <si>
    <t>C</t>
  </si>
  <si>
    <t>D</t>
  </si>
  <si>
    <t>E</t>
  </si>
  <si>
    <t>MA</t>
  </si>
  <si>
    <t>SES</t>
  </si>
  <si>
    <t>EXP</t>
  </si>
  <si>
    <t>Diffrerence</t>
  </si>
  <si>
    <t>Summarized</t>
  </si>
  <si>
    <t>Moving average number</t>
  </si>
  <si>
    <t>A SES LEVEL</t>
  </si>
  <si>
    <t>Alpha SES</t>
  </si>
  <si>
    <t>B SES LEVEL</t>
  </si>
  <si>
    <t>C SES LEVEL</t>
  </si>
  <si>
    <t>D SES LEVEL</t>
  </si>
  <si>
    <t>E SES LEVEL</t>
  </si>
  <si>
    <t>A HOLT LEVEL</t>
  </si>
  <si>
    <t>A HOLT TREND</t>
  </si>
  <si>
    <t>Alpha HOLT</t>
  </si>
  <si>
    <t>Beta HOLT</t>
  </si>
  <si>
    <t>B HOLT LEVEL</t>
  </si>
  <si>
    <t>B HOLT TREND</t>
  </si>
  <si>
    <t>C HOLT LEVEL</t>
  </si>
  <si>
    <t>C HOLT TREND</t>
  </si>
  <si>
    <t>D HOLT LEVEL</t>
  </si>
  <si>
    <t>D HOLT TREND</t>
  </si>
  <si>
    <t>E HOLT LEVEL</t>
  </si>
  <si>
    <t>E HOLT TREND</t>
  </si>
  <si>
    <t>Naive</t>
  </si>
  <si>
    <t>ARIMA</t>
  </si>
  <si>
    <t>LSTM</t>
  </si>
  <si>
    <t>W101</t>
  </si>
  <si>
    <t>W102</t>
  </si>
  <si>
    <t>W103</t>
  </si>
  <si>
    <t>W104</t>
  </si>
  <si>
    <t>W105</t>
  </si>
  <si>
    <t>W106</t>
  </si>
  <si>
    <t>W107</t>
  </si>
  <si>
    <t>W108</t>
  </si>
  <si>
    <t>W109</t>
  </si>
  <si>
    <t>W110</t>
  </si>
  <si>
    <t>MA number</t>
  </si>
  <si>
    <t>ARIMA p</t>
  </si>
  <si>
    <t>ARIMA d</t>
  </si>
  <si>
    <t>ARIMA q</t>
  </si>
  <si>
    <t>p</t>
  </si>
  <si>
    <t>d</t>
  </si>
  <si>
    <t>q</t>
  </si>
  <si>
    <t>Moving A.</t>
  </si>
  <si>
    <t>Exp. HOLT</t>
  </si>
  <si>
    <t>Mod. LSTM</t>
  </si>
  <si>
    <t>Best Forcasting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</si>
</sst>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0" borderId="1" xfId="0" applyBorder="1"/>
    <xf numFmtId="164" fontId="0" fillId="0" borderId="0" xfId="0" applyNumberFormat="1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2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2" xfId="0" applyNumberForma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Item A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'Methods and calculation'!$B$1:$DG$1</c:f>
              <c:strCache>
                <c:ptCount val="110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  <c:pt idx="7">
                  <c:v>Week8</c:v>
                </c:pt>
                <c:pt idx="8">
                  <c:v>Week9</c:v>
                </c:pt>
                <c:pt idx="9">
                  <c:v>Week10</c:v>
                </c:pt>
                <c:pt idx="10">
                  <c:v>Week11</c:v>
                </c:pt>
                <c:pt idx="11">
                  <c:v>Week12</c:v>
                </c:pt>
                <c:pt idx="12">
                  <c:v>Week13</c:v>
                </c:pt>
                <c:pt idx="13">
                  <c:v>Week14</c:v>
                </c:pt>
                <c:pt idx="14">
                  <c:v>Week15</c:v>
                </c:pt>
                <c:pt idx="15">
                  <c:v>Week16</c:v>
                </c:pt>
                <c:pt idx="16">
                  <c:v>Week17</c:v>
                </c:pt>
                <c:pt idx="17">
                  <c:v>Week18</c:v>
                </c:pt>
                <c:pt idx="18">
                  <c:v>Week19</c:v>
                </c:pt>
                <c:pt idx="19">
                  <c:v>Week20</c:v>
                </c:pt>
                <c:pt idx="20">
                  <c:v>Week21</c:v>
                </c:pt>
                <c:pt idx="21">
                  <c:v>Week22</c:v>
                </c:pt>
                <c:pt idx="22">
                  <c:v>Week23</c:v>
                </c:pt>
                <c:pt idx="23">
                  <c:v>Week24</c:v>
                </c:pt>
                <c:pt idx="24">
                  <c:v>Week25</c:v>
                </c:pt>
                <c:pt idx="25">
                  <c:v>Week26</c:v>
                </c:pt>
                <c:pt idx="26">
                  <c:v>Week27</c:v>
                </c:pt>
                <c:pt idx="27">
                  <c:v>Week28</c:v>
                </c:pt>
                <c:pt idx="28">
                  <c:v>Week29</c:v>
                </c:pt>
                <c:pt idx="29">
                  <c:v>Week30</c:v>
                </c:pt>
                <c:pt idx="30">
                  <c:v>Week31</c:v>
                </c:pt>
                <c:pt idx="31">
                  <c:v>Week32</c:v>
                </c:pt>
                <c:pt idx="32">
                  <c:v>Week33</c:v>
                </c:pt>
                <c:pt idx="33">
                  <c:v>Week34</c:v>
                </c:pt>
                <c:pt idx="34">
                  <c:v>Week35</c:v>
                </c:pt>
                <c:pt idx="35">
                  <c:v>Week36</c:v>
                </c:pt>
                <c:pt idx="36">
                  <c:v>Week37</c:v>
                </c:pt>
                <c:pt idx="37">
                  <c:v>Week38</c:v>
                </c:pt>
                <c:pt idx="38">
                  <c:v>Week39</c:v>
                </c:pt>
                <c:pt idx="39">
                  <c:v>Week40</c:v>
                </c:pt>
                <c:pt idx="40">
                  <c:v>Week41</c:v>
                </c:pt>
                <c:pt idx="41">
                  <c:v>Week42</c:v>
                </c:pt>
                <c:pt idx="42">
                  <c:v>Week43</c:v>
                </c:pt>
                <c:pt idx="43">
                  <c:v>Week44</c:v>
                </c:pt>
                <c:pt idx="44">
                  <c:v>Week45</c:v>
                </c:pt>
                <c:pt idx="45">
                  <c:v>Week46</c:v>
                </c:pt>
                <c:pt idx="46">
                  <c:v>Week47</c:v>
                </c:pt>
                <c:pt idx="47">
                  <c:v>Week48</c:v>
                </c:pt>
                <c:pt idx="48">
                  <c:v>Week49</c:v>
                </c:pt>
                <c:pt idx="49">
                  <c:v>Week50</c:v>
                </c:pt>
                <c:pt idx="50">
                  <c:v>Week51</c:v>
                </c:pt>
                <c:pt idx="51">
                  <c:v>Week52</c:v>
                </c:pt>
                <c:pt idx="52">
                  <c:v>Week53</c:v>
                </c:pt>
                <c:pt idx="53">
                  <c:v>Week54</c:v>
                </c:pt>
                <c:pt idx="54">
                  <c:v>Week55</c:v>
                </c:pt>
                <c:pt idx="55">
                  <c:v>Week56</c:v>
                </c:pt>
                <c:pt idx="56">
                  <c:v>Week57</c:v>
                </c:pt>
                <c:pt idx="57">
                  <c:v>Week58</c:v>
                </c:pt>
                <c:pt idx="58">
                  <c:v>Week59</c:v>
                </c:pt>
                <c:pt idx="59">
                  <c:v>Week60</c:v>
                </c:pt>
                <c:pt idx="60">
                  <c:v>Week61</c:v>
                </c:pt>
                <c:pt idx="61">
                  <c:v>Week62</c:v>
                </c:pt>
                <c:pt idx="62">
                  <c:v>Week63</c:v>
                </c:pt>
                <c:pt idx="63">
                  <c:v>Week64</c:v>
                </c:pt>
                <c:pt idx="64">
                  <c:v>Week65</c:v>
                </c:pt>
                <c:pt idx="65">
                  <c:v>Week66</c:v>
                </c:pt>
                <c:pt idx="66">
                  <c:v>Week67</c:v>
                </c:pt>
                <c:pt idx="67">
                  <c:v>Week68</c:v>
                </c:pt>
                <c:pt idx="68">
                  <c:v>Week69</c:v>
                </c:pt>
                <c:pt idx="69">
                  <c:v>Week70</c:v>
                </c:pt>
                <c:pt idx="70">
                  <c:v>Week71</c:v>
                </c:pt>
                <c:pt idx="71">
                  <c:v>Week72</c:v>
                </c:pt>
                <c:pt idx="72">
                  <c:v>Week73</c:v>
                </c:pt>
                <c:pt idx="73">
                  <c:v>Week74</c:v>
                </c:pt>
                <c:pt idx="74">
                  <c:v>Week75</c:v>
                </c:pt>
                <c:pt idx="75">
                  <c:v>Week76</c:v>
                </c:pt>
                <c:pt idx="76">
                  <c:v>Week77</c:v>
                </c:pt>
                <c:pt idx="77">
                  <c:v>Week78</c:v>
                </c:pt>
                <c:pt idx="78">
                  <c:v>Week79</c:v>
                </c:pt>
                <c:pt idx="79">
                  <c:v>Week80</c:v>
                </c:pt>
                <c:pt idx="80">
                  <c:v>Week81</c:v>
                </c:pt>
                <c:pt idx="81">
                  <c:v>Week82</c:v>
                </c:pt>
                <c:pt idx="82">
                  <c:v>Week83</c:v>
                </c:pt>
                <c:pt idx="83">
                  <c:v>Week84</c:v>
                </c:pt>
                <c:pt idx="84">
                  <c:v>Week85</c:v>
                </c:pt>
                <c:pt idx="85">
                  <c:v>Week86</c:v>
                </c:pt>
                <c:pt idx="86">
                  <c:v>Week87</c:v>
                </c:pt>
                <c:pt idx="87">
                  <c:v>Week88</c:v>
                </c:pt>
                <c:pt idx="88">
                  <c:v>Week89</c:v>
                </c:pt>
                <c:pt idx="89">
                  <c:v>Week90</c:v>
                </c:pt>
                <c:pt idx="90">
                  <c:v>Week91</c:v>
                </c:pt>
                <c:pt idx="91">
                  <c:v>Week92</c:v>
                </c:pt>
                <c:pt idx="92">
                  <c:v>Week93</c:v>
                </c:pt>
                <c:pt idx="93">
                  <c:v>Week94</c:v>
                </c:pt>
                <c:pt idx="94">
                  <c:v>Week95</c:v>
                </c:pt>
                <c:pt idx="95">
                  <c:v>Week96</c:v>
                </c:pt>
                <c:pt idx="96">
                  <c:v>Week97</c:v>
                </c:pt>
                <c:pt idx="97">
                  <c:v>Week98</c:v>
                </c:pt>
                <c:pt idx="98">
                  <c:v>Week99</c:v>
                </c:pt>
                <c:pt idx="99">
                  <c:v>Week100</c:v>
                </c:pt>
                <c:pt idx="100">
                  <c:v>Week101</c:v>
                </c:pt>
                <c:pt idx="101">
                  <c:v>Week102</c:v>
                </c:pt>
                <c:pt idx="102">
                  <c:v>Week103</c:v>
                </c:pt>
                <c:pt idx="103">
                  <c:v>Week104</c:v>
                </c:pt>
                <c:pt idx="104">
                  <c:v>Week105</c:v>
                </c:pt>
                <c:pt idx="105">
                  <c:v>Week106</c:v>
                </c:pt>
                <c:pt idx="106">
                  <c:v>Week107</c:v>
                </c:pt>
                <c:pt idx="107">
                  <c:v>Week108</c:v>
                </c:pt>
                <c:pt idx="108">
                  <c:v>Week109</c:v>
                </c:pt>
                <c:pt idx="109">
                  <c:v>Week110</c:v>
                </c:pt>
              </c:strCache>
            </c:strRef>
          </c:cat>
          <c:val>
            <c:numRef>
              <c:f>'Methods and calculation'!$B$2:$DG$2</c:f>
              <c:numCache>
                <c:formatCode>General</c:formatCode>
                <c:ptCount val="110"/>
                <c:pt idx="0">
                  <c:v>3</c:v>
                </c:pt>
                <c:pt idx="1">
                  <c:v>12</c:v>
                </c:pt>
                <c:pt idx="2">
                  <c:v>41</c:v>
                </c:pt>
                <c:pt idx="3">
                  <c:v>2</c:v>
                </c:pt>
                <c:pt idx="4">
                  <c:v>31</c:v>
                </c:pt>
                <c:pt idx="5">
                  <c:v>2</c:v>
                </c:pt>
                <c:pt idx="6">
                  <c:v>43</c:v>
                </c:pt>
                <c:pt idx="7">
                  <c:v>43</c:v>
                </c:pt>
                <c:pt idx="8">
                  <c:v>22</c:v>
                </c:pt>
                <c:pt idx="9">
                  <c:v>32</c:v>
                </c:pt>
                <c:pt idx="10">
                  <c:v>3</c:v>
                </c:pt>
                <c:pt idx="11">
                  <c:v>12</c:v>
                </c:pt>
                <c:pt idx="12">
                  <c:v>41</c:v>
                </c:pt>
                <c:pt idx="13">
                  <c:v>2</c:v>
                </c:pt>
                <c:pt idx="14">
                  <c:v>31</c:v>
                </c:pt>
                <c:pt idx="15">
                  <c:v>2</c:v>
                </c:pt>
                <c:pt idx="16">
                  <c:v>43</c:v>
                </c:pt>
                <c:pt idx="17">
                  <c:v>43</c:v>
                </c:pt>
                <c:pt idx="18">
                  <c:v>22</c:v>
                </c:pt>
                <c:pt idx="19">
                  <c:v>32</c:v>
                </c:pt>
                <c:pt idx="20">
                  <c:v>3</c:v>
                </c:pt>
                <c:pt idx="21">
                  <c:v>12</c:v>
                </c:pt>
                <c:pt idx="22">
                  <c:v>41</c:v>
                </c:pt>
                <c:pt idx="23">
                  <c:v>2</c:v>
                </c:pt>
                <c:pt idx="24">
                  <c:v>31</c:v>
                </c:pt>
                <c:pt idx="25">
                  <c:v>2</c:v>
                </c:pt>
                <c:pt idx="26">
                  <c:v>43</c:v>
                </c:pt>
                <c:pt idx="27">
                  <c:v>43</c:v>
                </c:pt>
                <c:pt idx="28">
                  <c:v>22</c:v>
                </c:pt>
                <c:pt idx="29">
                  <c:v>32</c:v>
                </c:pt>
                <c:pt idx="30">
                  <c:v>3</c:v>
                </c:pt>
                <c:pt idx="31">
                  <c:v>12</c:v>
                </c:pt>
                <c:pt idx="32">
                  <c:v>41</c:v>
                </c:pt>
                <c:pt idx="33">
                  <c:v>2</c:v>
                </c:pt>
                <c:pt idx="34">
                  <c:v>31</c:v>
                </c:pt>
                <c:pt idx="35">
                  <c:v>2</c:v>
                </c:pt>
                <c:pt idx="36">
                  <c:v>43</c:v>
                </c:pt>
                <c:pt idx="37">
                  <c:v>43</c:v>
                </c:pt>
                <c:pt idx="38">
                  <c:v>22</c:v>
                </c:pt>
                <c:pt idx="39">
                  <c:v>32</c:v>
                </c:pt>
                <c:pt idx="40">
                  <c:v>3</c:v>
                </c:pt>
                <c:pt idx="41">
                  <c:v>12</c:v>
                </c:pt>
                <c:pt idx="42">
                  <c:v>41</c:v>
                </c:pt>
                <c:pt idx="43">
                  <c:v>2</c:v>
                </c:pt>
                <c:pt idx="44">
                  <c:v>31</c:v>
                </c:pt>
                <c:pt idx="45">
                  <c:v>2</c:v>
                </c:pt>
                <c:pt idx="46">
                  <c:v>43</c:v>
                </c:pt>
                <c:pt idx="47">
                  <c:v>43</c:v>
                </c:pt>
                <c:pt idx="48">
                  <c:v>22</c:v>
                </c:pt>
                <c:pt idx="49">
                  <c:v>32</c:v>
                </c:pt>
                <c:pt idx="50">
                  <c:v>3</c:v>
                </c:pt>
                <c:pt idx="51">
                  <c:v>12</c:v>
                </c:pt>
                <c:pt idx="52">
                  <c:v>41</c:v>
                </c:pt>
                <c:pt idx="53">
                  <c:v>2</c:v>
                </c:pt>
                <c:pt idx="54">
                  <c:v>31</c:v>
                </c:pt>
                <c:pt idx="55">
                  <c:v>2</c:v>
                </c:pt>
                <c:pt idx="56">
                  <c:v>43</c:v>
                </c:pt>
                <c:pt idx="57">
                  <c:v>43</c:v>
                </c:pt>
                <c:pt idx="58">
                  <c:v>22</c:v>
                </c:pt>
                <c:pt idx="59">
                  <c:v>32</c:v>
                </c:pt>
                <c:pt idx="60">
                  <c:v>3</c:v>
                </c:pt>
                <c:pt idx="61">
                  <c:v>12</c:v>
                </c:pt>
                <c:pt idx="62">
                  <c:v>41</c:v>
                </c:pt>
                <c:pt idx="63">
                  <c:v>2</c:v>
                </c:pt>
                <c:pt idx="64">
                  <c:v>31</c:v>
                </c:pt>
                <c:pt idx="65">
                  <c:v>2</c:v>
                </c:pt>
                <c:pt idx="66">
                  <c:v>43</c:v>
                </c:pt>
                <c:pt idx="67">
                  <c:v>43</c:v>
                </c:pt>
                <c:pt idx="68">
                  <c:v>22</c:v>
                </c:pt>
                <c:pt idx="69">
                  <c:v>32</c:v>
                </c:pt>
                <c:pt idx="70">
                  <c:v>3</c:v>
                </c:pt>
                <c:pt idx="71">
                  <c:v>12</c:v>
                </c:pt>
                <c:pt idx="72">
                  <c:v>41</c:v>
                </c:pt>
                <c:pt idx="73">
                  <c:v>2</c:v>
                </c:pt>
                <c:pt idx="74">
                  <c:v>31</c:v>
                </c:pt>
                <c:pt idx="75">
                  <c:v>2</c:v>
                </c:pt>
                <c:pt idx="76">
                  <c:v>43</c:v>
                </c:pt>
                <c:pt idx="77">
                  <c:v>43</c:v>
                </c:pt>
                <c:pt idx="78">
                  <c:v>22</c:v>
                </c:pt>
                <c:pt idx="79">
                  <c:v>32</c:v>
                </c:pt>
                <c:pt idx="80">
                  <c:v>3</c:v>
                </c:pt>
                <c:pt idx="81">
                  <c:v>12</c:v>
                </c:pt>
                <c:pt idx="82">
                  <c:v>41</c:v>
                </c:pt>
                <c:pt idx="83">
                  <c:v>2</c:v>
                </c:pt>
                <c:pt idx="84">
                  <c:v>31</c:v>
                </c:pt>
                <c:pt idx="85">
                  <c:v>2</c:v>
                </c:pt>
                <c:pt idx="86">
                  <c:v>43</c:v>
                </c:pt>
                <c:pt idx="87">
                  <c:v>43</c:v>
                </c:pt>
                <c:pt idx="88">
                  <c:v>22</c:v>
                </c:pt>
                <c:pt idx="89">
                  <c:v>32</c:v>
                </c:pt>
                <c:pt idx="90">
                  <c:v>3</c:v>
                </c:pt>
                <c:pt idx="91">
                  <c:v>12</c:v>
                </c:pt>
                <c:pt idx="92">
                  <c:v>41</c:v>
                </c:pt>
                <c:pt idx="93">
                  <c:v>2</c:v>
                </c:pt>
                <c:pt idx="94">
                  <c:v>31</c:v>
                </c:pt>
                <c:pt idx="95">
                  <c:v>2</c:v>
                </c:pt>
                <c:pt idx="96">
                  <c:v>43</c:v>
                </c:pt>
                <c:pt idx="97">
                  <c:v>43</c:v>
                </c:pt>
                <c:pt idx="98">
                  <c:v>22</c:v>
                </c:pt>
                <c:pt idx="99">
                  <c:v>32</c:v>
                </c:pt>
                <c:pt idx="100">
                  <c:v>3</c:v>
                </c:pt>
                <c:pt idx="101">
                  <c:v>12</c:v>
                </c:pt>
                <c:pt idx="102">
                  <c:v>41</c:v>
                </c:pt>
                <c:pt idx="103">
                  <c:v>2</c:v>
                </c:pt>
                <c:pt idx="104">
                  <c:v>31</c:v>
                </c:pt>
                <c:pt idx="105">
                  <c:v>2</c:v>
                </c:pt>
                <c:pt idx="106">
                  <c:v>43</c:v>
                </c:pt>
                <c:pt idx="107">
                  <c:v>43</c:v>
                </c:pt>
                <c:pt idx="108">
                  <c:v>22</c:v>
                </c:pt>
                <c:pt idx="10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11-41F8-8E8B-021E820C4233}"/>
            </c:ext>
          </c:extLst>
        </c:ser>
        <c:ser>
          <c:idx val="1"/>
          <c:order val="1"/>
          <c:tx>
            <c:v>Item B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val>
            <c:numRef>
              <c:f>'Methods and calculation'!$B$3:$DG$3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112</c:v>
                </c:pt>
                <c:pt idx="3">
                  <c:v>2</c:v>
                </c:pt>
                <c:pt idx="4">
                  <c:v>100</c:v>
                </c:pt>
                <c:pt idx="5">
                  <c:v>33</c:v>
                </c:pt>
                <c:pt idx="6">
                  <c:v>55</c:v>
                </c:pt>
                <c:pt idx="7">
                  <c:v>53</c:v>
                </c:pt>
                <c:pt idx="8">
                  <c:v>23</c:v>
                </c:pt>
                <c:pt idx="9">
                  <c:v>12</c:v>
                </c:pt>
                <c:pt idx="10">
                  <c:v>0</c:v>
                </c:pt>
                <c:pt idx="11">
                  <c:v>0</c:v>
                </c:pt>
                <c:pt idx="12">
                  <c:v>112</c:v>
                </c:pt>
                <c:pt idx="13">
                  <c:v>2</c:v>
                </c:pt>
                <c:pt idx="14">
                  <c:v>100</c:v>
                </c:pt>
                <c:pt idx="15">
                  <c:v>33</c:v>
                </c:pt>
                <c:pt idx="16">
                  <c:v>55</c:v>
                </c:pt>
                <c:pt idx="17">
                  <c:v>53</c:v>
                </c:pt>
                <c:pt idx="18">
                  <c:v>23</c:v>
                </c:pt>
                <c:pt idx="19">
                  <c:v>12</c:v>
                </c:pt>
                <c:pt idx="20">
                  <c:v>0</c:v>
                </c:pt>
                <c:pt idx="21">
                  <c:v>0</c:v>
                </c:pt>
                <c:pt idx="22">
                  <c:v>112</c:v>
                </c:pt>
                <c:pt idx="23">
                  <c:v>2</c:v>
                </c:pt>
                <c:pt idx="24">
                  <c:v>100</c:v>
                </c:pt>
                <c:pt idx="25">
                  <c:v>33</c:v>
                </c:pt>
                <c:pt idx="26">
                  <c:v>55</c:v>
                </c:pt>
                <c:pt idx="27">
                  <c:v>53</c:v>
                </c:pt>
                <c:pt idx="28">
                  <c:v>23</c:v>
                </c:pt>
                <c:pt idx="29">
                  <c:v>12</c:v>
                </c:pt>
                <c:pt idx="30">
                  <c:v>0</c:v>
                </c:pt>
                <c:pt idx="31">
                  <c:v>0</c:v>
                </c:pt>
                <c:pt idx="32">
                  <c:v>112</c:v>
                </c:pt>
                <c:pt idx="33">
                  <c:v>2</c:v>
                </c:pt>
                <c:pt idx="34">
                  <c:v>100</c:v>
                </c:pt>
                <c:pt idx="35">
                  <c:v>33</c:v>
                </c:pt>
                <c:pt idx="36">
                  <c:v>55</c:v>
                </c:pt>
                <c:pt idx="37">
                  <c:v>53</c:v>
                </c:pt>
                <c:pt idx="38">
                  <c:v>23</c:v>
                </c:pt>
                <c:pt idx="39">
                  <c:v>12</c:v>
                </c:pt>
                <c:pt idx="40">
                  <c:v>0</c:v>
                </c:pt>
                <c:pt idx="41">
                  <c:v>0</c:v>
                </c:pt>
                <c:pt idx="42">
                  <c:v>112</c:v>
                </c:pt>
                <c:pt idx="43">
                  <c:v>2</c:v>
                </c:pt>
                <c:pt idx="44">
                  <c:v>100</c:v>
                </c:pt>
                <c:pt idx="45">
                  <c:v>33</c:v>
                </c:pt>
                <c:pt idx="46">
                  <c:v>55</c:v>
                </c:pt>
                <c:pt idx="47">
                  <c:v>53</c:v>
                </c:pt>
                <c:pt idx="48">
                  <c:v>23</c:v>
                </c:pt>
                <c:pt idx="49">
                  <c:v>12</c:v>
                </c:pt>
                <c:pt idx="50">
                  <c:v>0</c:v>
                </c:pt>
                <c:pt idx="51">
                  <c:v>0</c:v>
                </c:pt>
                <c:pt idx="52">
                  <c:v>112</c:v>
                </c:pt>
                <c:pt idx="53">
                  <c:v>2</c:v>
                </c:pt>
                <c:pt idx="54">
                  <c:v>100</c:v>
                </c:pt>
                <c:pt idx="55">
                  <c:v>33</c:v>
                </c:pt>
                <c:pt idx="56">
                  <c:v>55</c:v>
                </c:pt>
                <c:pt idx="57">
                  <c:v>53</c:v>
                </c:pt>
                <c:pt idx="58">
                  <c:v>23</c:v>
                </c:pt>
                <c:pt idx="59">
                  <c:v>12</c:v>
                </c:pt>
                <c:pt idx="60">
                  <c:v>0</c:v>
                </c:pt>
                <c:pt idx="61">
                  <c:v>0</c:v>
                </c:pt>
                <c:pt idx="62">
                  <c:v>112</c:v>
                </c:pt>
                <c:pt idx="63">
                  <c:v>2</c:v>
                </c:pt>
                <c:pt idx="64">
                  <c:v>100</c:v>
                </c:pt>
                <c:pt idx="65">
                  <c:v>33</c:v>
                </c:pt>
                <c:pt idx="66">
                  <c:v>55</c:v>
                </c:pt>
                <c:pt idx="67">
                  <c:v>53</c:v>
                </c:pt>
                <c:pt idx="68">
                  <c:v>23</c:v>
                </c:pt>
                <c:pt idx="69">
                  <c:v>12</c:v>
                </c:pt>
                <c:pt idx="70">
                  <c:v>0</c:v>
                </c:pt>
                <c:pt idx="71">
                  <c:v>0</c:v>
                </c:pt>
                <c:pt idx="72">
                  <c:v>112</c:v>
                </c:pt>
                <c:pt idx="73">
                  <c:v>2</c:v>
                </c:pt>
                <c:pt idx="74">
                  <c:v>100</c:v>
                </c:pt>
                <c:pt idx="75">
                  <c:v>33</c:v>
                </c:pt>
                <c:pt idx="76">
                  <c:v>55</c:v>
                </c:pt>
                <c:pt idx="77">
                  <c:v>53</c:v>
                </c:pt>
                <c:pt idx="78">
                  <c:v>23</c:v>
                </c:pt>
                <c:pt idx="79">
                  <c:v>12</c:v>
                </c:pt>
                <c:pt idx="80">
                  <c:v>0</c:v>
                </c:pt>
                <c:pt idx="81">
                  <c:v>0</c:v>
                </c:pt>
                <c:pt idx="82">
                  <c:v>112</c:v>
                </c:pt>
                <c:pt idx="83">
                  <c:v>2</c:v>
                </c:pt>
                <c:pt idx="84">
                  <c:v>100</c:v>
                </c:pt>
                <c:pt idx="85">
                  <c:v>33</c:v>
                </c:pt>
                <c:pt idx="86">
                  <c:v>55</c:v>
                </c:pt>
                <c:pt idx="87">
                  <c:v>53</c:v>
                </c:pt>
                <c:pt idx="88">
                  <c:v>23</c:v>
                </c:pt>
                <c:pt idx="89">
                  <c:v>12</c:v>
                </c:pt>
                <c:pt idx="90">
                  <c:v>0</c:v>
                </c:pt>
                <c:pt idx="91">
                  <c:v>0</c:v>
                </c:pt>
                <c:pt idx="92">
                  <c:v>112</c:v>
                </c:pt>
                <c:pt idx="93">
                  <c:v>2</c:v>
                </c:pt>
                <c:pt idx="94">
                  <c:v>100</c:v>
                </c:pt>
                <c:pt idx="95">
                  <c:v>33</c:v>
                </c:pt>
                <c:pt idx="96">
                  <c:v>55</c:v>
                </c:pt>
                <c:pt idx="97">
                  <c:v>53</c:v>
                </c:pt>
                <c:pt idx="98">
                  <c:v>23</c:v>
                </c:pt>
                <c:pt idx="99">
                  <c:v>12</c:v>
                </c:pt>
                <c:pt idx="100">
                  <c:v>0</c:v>
                </c:pt>
                <c:pt idx="101">
                  <c:v>0</c:v>
                </c:pt>
                <c:pt idx="102">
                  <c:v>112</c:v>
                </c:pt>
                <c:pt idx="103">
                  <c:v>2</c:v>
                </c:pt>
                <c:pt idx="104">
                  <c:v>100</c:v>
                </c:pt>
                <c:pt idx="105">
                  <c:v>33</c:v>
                </c:pt>
                <c:pt idx="106">
                  <c:v>55</c:v>
                </c:pt>
                <c:pt idx="107">
                  <c:v>53</c:v>
                </c:pt>
                <c:pt idx="108">
                  <c:v>23</c:v>
                </c:pt>
                <c:pt idx="10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11-41F8-8E8B-021E820C4233}"/>
            </c:ext>
          </c:extLst>
        </c:ser>
        <c:ser>
          <c:idx val="2"/>
          <c:order val="2"/>
          <c:tx>
            <c:v>Item C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val>
            <c:numRef>
              <c:f>'Methods and calculation'!$B$4:$DG$4</c:f>
              <c:numCache>
                <c:formatCode>General</c:formatCode>
                <c:ptCount val="110"/>
                <c:pt idx="0">
                  <c:v>916</c:v>
                </c:pt>
                <c:pt idx="1">
                  <c:v>939</c:v>
                </c:pt>
                <c:pt idx="2">
                  <c:v>305</c:v>
                </c:pt>
                <c:pt idx="3">
                  <c:v>952</c:v>
                </c:pt>
                <c:pt idx="4">
                  <c:v>128</c:v>
                </c:pt>
                <c:pt idx="5">
                  <c:v>81</c:v>
                </c:pt>
                <c:pt idx="6">
                  <c:v>908</c:v>
                </c:pt>
                <c:pt idx="7">
                  <c:v>744</c:v>
                </c:pt>
                <c:pt idx="8">
                  <c:v>333</c:v>
                </c:pt>
                <c:pt idx="9">
                  <c:v>862</c:v>
                </c:pt>
                <c:pt idx="10">
                  <c:v>606</c:v>
                </c:pt>
                <c:pt idx="11">
                  <c:v>352</c:v>
                </c:pt>
                <c:pt idx="12">
                  <c:v>233</c:v>
                </c:pt>
                <c:pt idx="13">
                  <c:v>502</c:v>
                </c:pt>
                <c:pt idx="14">
                  <c:v>693</c:v>
                </c:pt>
                <c:pt idx="15">
                  <c:v>828</c:v>
                </c:pt>
                <c:pt idx="16">
                  <c:v>189</c:v>
                </c:pt>
                <c:pt idx="17">
                  <c:v>89</c:v>
                </c:pt>
                <c:pt idx="18">
                  <c:v>705</c:v>
                </c:pt>
                <c:pt idx="19">
                  <c:v>486</c:v>
                </c:pt>
                <c:pt idx="20">
                  <c:v>142</c:v>
                </c:pt>
                <c:pt idx="21">
                  <c:v>575</c:v>
                </c:pt>
                <c:pt idx="22">
                  <c:v>972</c:v>
                </c:pt>
                <c:pt idx="23">
                  <c:v>222</c:v>
                </c:pt>
                <c:pt idx="24">
                  <c:v>593</c:v>
                </c:pt>
                <c:pt idx="25">
                  <c:v>259</c:v>
                </c:pt>
                <c:pt idx="26">
                  <c:v>492</c:v>
                </c:pt>
                <c:pt idx="27">
                  <c:v>227</c:v>
                </c:pt>
                <c:pt idx="28">
                  <c:v>195</c:v>
                </c:pt>
                <c:pt idx="29">
                  <c:v>374</c:v>
                </c:pt>
                <c:pt idx="30">
                  <c:v>539</c:v>
                </c:pt>
                <c:pt idx="31">
                  <c:v>2</c:v>
                </c:pt>
                <c:pt idx="32">
                  <c:v>865</c:v>
                </c:pt>
                <c:pt idx="33">
                  <c:v>308</c:v>
                </c:pt>
                <c:pt idx="34">
                  <c:v>118</c:v>
                </c:pt>
                <c:pt idx="35">
                  <c:v>126</c:v>
                </c:pt>
                <c:pt idx="36">
                  <c:v>881</c:v>
                </c:pt>
                <c:pt idx="37">
                  <c:v>126</c:v>
                </c:pt>
                <c:pt idx="38">
                  <c:v>645</c:v>
                </c:pt>
                <c:pt idx="39">
                  <c:v>868</c:v>
                </c:pt>
                <c:pt idx="40">
                  <c:v>943</c:v>
                </c:pt>
                <c:pt idx="41">
                  <c:v>483</c:v>
                </c:pt>
                <c:pt idx="42">
                  <c:v>701</c:v>
                </c:pt>
                <c:pt idx="43">
                  <c:v>190</c:v>
                </c:pt>
                <c:pt idx="44">
                  <c:v>251</c:v>
                </c:pt>
                <c:pt idx="45">
                  <c:v>872</c:v>
                </c:pt>
                <c:pt idx="46">
                  <c:v>905</c:v>
                </c:pt>
                <c:pt idx="47">
                  <c:v>632</c:v>
                </c:pt>
                <c:pt idx="48">
                  <c:v>842</c:v>
                </c:pt>
                <c:pt idx="49">
                  <c:v>42</c:v>
                </c:pt>
                <c:pt idx="50">
                  <c:v>517</c:v>
                </c:pt>
                <c:pt idx="51">
                  <c:v>950</c:v>
                </c:pt>
                <c:pt idx="52">
                  <c:v>891</c:v>
                </c:pt>
                <c:pt idx="53">
                  <c:v>536</c:v>
                </c:pt>
                <c:pt idx="54">
                  <c:v>462</c:v>
                </c:pt>
                <c:pt idx="55">
                  <c:v>916</c:v>
                </c:pt>
                <c:pt idx="56">
                  <c:v>939</c:v>
                </c:pt>
                <c:pt idx="57">
                  <c:v>305</c:v>
                </c:pt>
                <c:pt idx="58">
                  <c:v>952</c:v>
                </c:pt>
                <c:pt idx="59">
                  <c:v>128</c:v>
                </c:pt>
                <c:pt idx="60">
                  <c:v>81</c:v>
                </c:pt>
                <c:pt idx="61">
                  <c:v>908</c:v>
                </c:pt>
                <c:pt idx="62">
                  <c:v>744</c:v>
                </c:pt>
                <c:pt idx="63">
                  <c:v>333</c:v>
                </c:pt>
                <c:pt idx="64">
                  <c:v>862</c:v>
                </c:pt>
                <c:pt idx="65">
                  <c:v>606</c:v>
                </c:pt>
                <c:pt idx="66">
                  <c:v>352</c:v>
                </c:pt>
                <c:pt idx="67">
                  <c:v>233</c:v>
                </c:pt>
                <c:pt idx="68">
                  <c:v>502</c:v>
                </c:pt>
                <c:pt idx="69">
                  <c:v>693</c:v>
                </c:pt>
                <c:pt idx="70">
                  <c:v>828</c:v>
                </c:pt>
                <c:pt idx="71">
                  <c:v>189</c:v>
                </c:pt>
                <c:pt idx="72">
                  <c:v>89</c:v>
                </c:pt>
                <c:pt idx="73">
                  <c:v>705</c:v>
                </c:pt>
                <c:pt idx="74">
                  <c:v>486</c:v>
                </c:pt>
                <c:pt idx="75">
                  <c:v>142</c:v>
                </c:pt>
                <c:pt idx="76">
                  <c:v>575</c:v>
                </c:pt>
                <c:pt idx="77">
                  <c:v>972</c:v>
                </c:pt>
                <c:pt idx="78">
                  <c:v>222</c:v>
                </c:pt>
                <c:pt idx="79">
                  <c:v>593</c:v>
                </c:pt>
                <c:pt idx="80">
                  <c:v>259</c:v>
                </c:pt>
                <c:pt idx="81">
                  <c:v>492</c:v>
                </c:pt>
                <c:pt idx="82">
                  <c:v>227</c:v>
                </c:pt>
                <c:pt idx="83">
                  <c:v>195</c:v>
                </c:pt>
                <c:pt idx="84">
                  <c:v>374</c:v>
                </c:pt>
                <c:pt idx="85">
                  <c:v>539</c:v>
                </c:pt>
                <c:pt idx="86">
                  <c:v>2</c:v>
                </c:pt>
                <c:pt idx="87">
                  <c:v>865</c:v>
                </c:pt>
                <c:pt idx="88">
                  <c:v>308</c:v>
                </c:pt>
                <c:pt idx="89">
                  <c:v>118</c:v>
                </c:pt>
                <c:pt idx="90">
                  <c:v>126</c:v>
                </c:pt>
                <c:pt idx="91">
                  <c:v>881</c:v>
                </c:pt>
                <c:pt idx="92">
                  <c:v>126</c:v>
                </c:pt>
                <c:pt idx="93">
                  <c:v>645</c:v>
                </c:pt>
                <c:pt idx="94">
                  <c:v>868</c:v>
                </c:pt>
                <c:pt idx="95">
                  <c:v>943</c:v>
                </c:pt>
                <c:pt idx="96">
                  <c:v>483</c:v>
                </c:pt>
                <c:pt idx="97">
                  <c:v>701</c:v>
                </c:pt>
                <c:pt idx="98">
                  <c:v>190</c:v>
                </c:pt>
                <c:pt idx="99">
                  <c:v>251</c:v>
                </c:pt>
                <c:pt idx="100">
                  <c:v>872</c:v>
                </c:pt>
                <c:pt idx="101">
                  <c:v>905</c:v>
                </c:pt>
                <c:pt idx="102">
                  <c:v>632</c:v>
                </c:pt>
                <c:pt idx="103">
                  <c:v>842</c:v>
                </c:pt>
                <c:pt idx="104">
                  <c:v>42</c:v>
                </c:pt>
                <c:pt idx="105">
                  <c:v>517</c:v>
                </c:pt>
                <c:pt idx="106">
                  <c:v>950</c:v>
                </c:pt>
                <c:pt idx="107">
                  <c:v>891</c:v>
                </c:pt>
                <c:pt idx="108">
                  <c:v>536</c:v>
                </c:pt>
                <c:pt idx="109">
                  <c:v>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11-41F8-8E8B-021E820C4233}"/>
            </c:ext>
          </c:extLst>
        </c:ser>
        <c:ser>
          <c:idx val="3"/>
          <c:order val="3"/>
          <c:tx>
            <c:v>Item D</c:v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val>
            <c:numRef>
              <c:f>'Methods and calculation'!$B$5:$DG$5</c:f>
              <c:numCache>
                <c:formatCode>General</c:formatCode>
                <c:ptCount val="110"/>
                <c:pt idx="0">
                  <c:v>77</c:v>
                </c:pt>
                <c:pt idx="1">
                  <c:v>322</c:v>
                </c:pt>
                <c:pt idx="2">
                  <c:v>260</c:v>
                </c:pt>
                <c:pt idx="3">
                  <c:v>233</c:v>
                </c:pt>
                <c:pt idx="4">
                  <c:v>284</c:v>
                </c:pt>
                <c:pt idx="5">
                  <c:v>399</c:v>
                </c:pt>
                <c:pt idx="6">
                  <c:v>370</c:v>
                </c:pt>
                <c:pt idx="7">
                  <c:v>209</c:v>
                </c:pt>
                <c:pt idx="8">
                  <c:v>368</c:v>
                </c:pt>
                <c:pt idx="9">
                  <c:v>240</c:v>
                </c:pt>
                <c:pt idx="10">
                  <c:v>350</c:v>
                </c:pt>
                <c:pt idx="11">
                  <c:v>402</c:v>
                </c:pt>
                <c:pt idx="12">
                  <c:v>343</c:v>
                </c:pt>
                <c:pt idx="13">
                  <c:v>204</c:v>
                </c:pt>
                <c:pt idx="14">
                  <c:v>298</c:v>
                </c:pt>
                <c:pt idx="15">
                  <c:v>226</c:v>
                </c:pt>
                <c:pt idx="16">
                  <c:v>235</c:v>
                </c:pt>
                <c:pt idx="17">
                  <c:v>4</c:v>
                </c:pt>
                <c:pt idx="18">
                  <c:v>478</c:v>
                </c:pt>
                <c:pt idx="19">
                  <c:v>174</c:v>
                </c:pt>
                <c:pt idx="20">
                  <c:v>451</c:v>
                </c:pt>
                <c:pt idx="21">
                  <c:v>295</c:v>
                </c:pt>
                <c:pt idx="22">
                  <c:v>77</c:v>
                </c:pt>
                <c:pt idx="23">
                  <c:v>322</c:v>
                </c:pt>
                <c:pt idx="24">
                  <c:v>260</c:v>
                </c:pt>
                <c:pt idx="25">
                  <c:v>233</c:v>
                </c:pt>
                <c:pt idx="26">
                  <c:v>284</c:v>
                </c:pt>
                <c:pt idx="27">
                  <c:v>399</c:v>
                </c:pt>
                <c:pt idx="28">
                  <c:v>370</c:v>
                </c:pt>
                <c:pt idx="29">
                  <c:v>209</c:v>
                </c:pt>
                <c:pt idx="30">
                  <c:v>368</c:v>
                </c:pt>
                <c:pt idx="31">
                  <c:v>240</c:v>
                </c:pt>
                <c:pt idx="32">
                  <c:v>350</c:v>
                </c:pt>
                <c:pt idx="33">
                  <c:v>402</c:v>
                </c:pt>
                <c:pt idx="34">
                  <c:v>343</c:v>
                </c:pt>
                <c:pt idx="35">
                  <c:v>204</c:v>
                </c:pt>
                <c:pt idx="36">
                  <c:v>298</c:v>
                </c:pt>
                <c:pt idx="37">
                  <c:v>226</c:v>
                </c:pt>
                <c:pt idx="38">
                  <c:v>235</c:v>
                </c:pt>
                <c:pt idx="39">
                  <c:v>4</c:v>
                </c:pt>
                <c:pt idx="40">
                  <c:v>478</c:v>
                </c:pt>
                <c:pt idx="41">
                  <c:v>174</c:v>
                </c:pt>
                <c:pt idx="42">
                  <c:v>451</c:v>
                </c:pt>
                <c:pt idx="43">
                  <c:v>295</c:v>
                </c:pt>
                <c:pt idx="44">
                  <c:v>77</c:v>
                </c:pt>
                <c:pt idx="45">
                  <c:v>322</c:v>
                </c:pt>
                <c:pt idx="46">
                  <c:v>260</c:v>
                </c:pt>
                <c:pt idx="47">
                  <c:v>233</c:v>
                </c:pt>
                <c:pt idx="48">
                  <c:v>284</c:v>
                </c:pt>
                <c:pt idx="49">
                  <c:v>399</c:v>
                </c:pt>
                <c:pt idx="50">
                  <c:v>370</c:v>
                </c:pt>
                <c:pt idx="51">
                  <c:v>209</c:v>
                </c:pt>
                <c:pt idx="52">
                  <c:v>368</c:v>
                </c:pt>
                <c:pt idx="53">
                  <c:v>240</c:v>
                </c:pt>
                <c:pt idx="54">
                  <c:v>350</c:v>
                </c:pt>
                <c:pt idx="55">
                  <c:v>402</c:v>
                </c:pt>
                <c:pt idx="56">
                  <c:v>343</c:v>
                </c:pt>
                <c:pt idx="57">
                  <c:v>204</c:v>
                </c:pt>
                <c:pt idx="58">
                  <c:v>298</c:v>
                </c:pt>
                <c:pt idx="59">
                  <c:v>226</c:v>
                </c:pt>
                <c:pt idx="60">
                  <c:v>235</c:v>
                </c:pt>
                <c:pt idx="61">
                  <c:v>4</c:v>
                </c:pt>
                <c:pt idx="62">
                  <c:v>478</c:v>
                </c:pt>
                <c:pt idx="63">
                  <c:v>174</c:v>
                </c:pt>
                <c:pt idx="64">
                  <c:v>451</c:v>
                </c:pt>
                <c:pt idx="65">
                  <c:v>295</c:v>
                </c:pt>
                <c:pt idx="66">
                  <c:v>77</c:v>
                </c:pt>
                <c:pt idx="67">
                  <c:v>322</c:v>
                </c:pt>
                <c:pt idx="68">
                  <c:v>260</c:v>
                </c:pt>
                <c:pt idx="69">
                  <c:v>233</c:v>
                </c:pt>
                <c:pt idx="70">
                  <c:v>284</c:v>
                </c:pt>
                <c:pt idx="71">
                  <c:v>399</c:v>
                </c:pt>
                <c:pt idx="72">
                  <c:v>370</c:v>
                </c:pt>
                <c:pt idx="73">
                  <c:v>209</c:v>
                </c:pt>
                <c:pt idx="74">
                  <c:v>368</c:v>
                </c:pt>
                <c:pt idx="75">
                  <c:v>240</c:v>
                </c:pt>
                <c:pt idx="76">
                  <c:v>350</c:v>
                </c:pt>
                <c:pt idx="77">
                  <c:v>402</c:v>
                </c:pt>
                <c:pt idx="78">
                  <c:v>343</c:v>
                </c:pt>
                <c:pt idx="79">
                  <c:v>204</c:v>
                </c:pt>
                <c:pt idx="80">
                  <c:v>298</c:v>
                </c:pt>
                <c:pt idx="81">
                  <c:v>226</c:v>
                </c:pt>
                <c:pt idx="82">
                  <c:v>235</c:v>
                </c:pt>
                <c:pt idx="83">
                  <c:v>4</c:v>
                </c:pt>
                <c:pt idx="84">
                  <c:v>478</c:v>
                </c:pt>
                <c:pt idx="85">
                  <c:v>174</c:v>
                </c:pt>
                <c:pt idx="86">
                  <c:v>451</c:v>
                </c:pt>
                <c:pt idx="87">
                  <c:v>295</c:v>
                </c:pt>
                <c:pt idx="88">
                  <c:v>77</c:v>
                </c:pt>
                <c:pt idx="89">
                  <c:v>322</c:v>
                </c:pt>
                <c:pt idx="90">
                  <c:v>260</c:v>
                </c:pt>
                <c:pt idx="91">
                  <c:v>233</c:v>
                </c:pt>
                <c:pt idx="92">
                  <c:v>284</c:v>
                </c:pt>
                <c:pt idx="93">
                  <c:v>399</c:v>
                </c:pt>
                <c:pt idx="94">
                  <c:v>370</c:v>
                </c:pt>
                <c:pt idx="95">
                  <c:v>209</c:v>
                </c:pt>
                <c:pt idx="96">
                  <c:v>368</c:v>
                </c:pt>
                <c:pt idx="97">
                  <c:v>240</c:v>
                </c:pt>
                <c:pt idx="98">
                  <c:v>350</c:v>
                </c:pt>
                <c:pt idx="99">
                  <c:v>402</c:v>
                </c:pt>
                <c:pt idx="100">
                  <c:v>343</c:v>
                </c:pt>
                <c:pt idx="101">
                  <c:v>204</c:v>
                </c:pt>
                <c:pt idx="102">
                  <c:v>298</c:v>
                </c:pt>
                <c:pt idx="103">
                  <c:v>226</c:v>
                </c:pt>
                <c:pt idx="104">
                  <c:v>235</c:v>
                </c:pt>
                <c:pt idx="105">
                  <c:v>4</c:v>
                </c:pt>
                <c:pt idx="106">
                  <c:v>478</c:v>
                </c:pt>
                <c:pt idx="107">
                  <c:v>174</c:v>
                </c:pt>
                <c:pt idx="108">
                  <c:v>451</c:v>
                </c:pt>
                <c:pt idx="109">
                  <c:v>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11-41F8-8E8B-021E820C4233}"/>
            </c:ext>
          </c:extLst>
        </c:ser>
        <c:ser>
          <c:idx val="4"/>
          <c:order val="4"/>
          <c:tx>
            <c:v>Item E</c:v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val>
            <c:numRef>
              <c:f>'Methods and calculation'!$B$6:$DG$6</c:f>
              <c:numCache>
                <c:formatCode>General</c:formatCode>
                <c:ptCount val="110"/>
                <c:pt idx="0">
                  <c:v>779</c:v>
                </c:pt>
                <c:pt idx="1">
                  <c:v>532</c:v>
                </c:pt>
                <c:pt idx="2">
                  <c:v>86</c:v>
                </c:pt>
                <c:pt idx="3">
                  <c:v>290</c:v>
                </c:pt>
                <c:pt idx="4">
                  <c:v>534</c:v>
                </c:pt>
                <c:pt idx="5">
                  <c:v>505</c:v>
                </c:pt>
                <c:pt idx="6">
                  <c:v>249</c:v>
                </c:pt>
                <c:pt idx="7">
                  <c:v>503</c:v>
                </c:pt>
                <c:pt idx="8">
                  <c:v>991</c:v>
                </c:pt>
                <c:pt idx="9">
                  <c:v>705</c:v>
                </c:pt>
                <c:pt idx="10">
                  <c:v>357</c:v>
                </c:pt>
                <c:pt idx="11">
                  <c:v>112</c:v>
                </c:pt>
                <c:pt idx="12">
                  <c:v>927</c:v>
                </c:pt>
                <c:pt idx="13">
                  <c:v>582</c:v>
                </c:pt>
                <c:pt idx="14">
                  <c:v>746</c:v>
                </c:pt>
                <c:pt idx="15">
                  <c:v>677</c:v>
                </c:pt>
                <c:pt idx="16">
                  <c:v>405</c:v>
                </c:pt>
                <c:pt idx="17">
                  <c:v>758</c:v>
                </c:pt>
                <c:pt idx="18">
                  <c:v>412</c:v>
                </c:pt>
                <c:pt idx="19">
                  <c:v>890</c:v>
                </c:pt>
                <c:pt idx="20">
                  <c:v>944</c:v>
                </c:pt>
                <c:pt idx="21">
                  <c:v>818</c:v>
                </c:pt>
                <c:pt idx="22">
                  <c:v>293</c:v>
                </c:pt>
                <c:pt idx="23">
                  <c:v>575</c:v>
                </c:pt>
                <c:pt idx="24">
                  <c:v>10</c:v>
                </c:pt>
                <c:pt idx="25">
                  <c:v>294</c:v>
                </c:pt>
                <c:pt idx="26">
                  <c:v>593</c:v>
                </c:pt>
                <c:pt idx="27">
                  <c:v>380</c:v>
                </c:pt>
                <c:pt idx="28">
                  <c:v>133</c:v>
                </c:pt>
                <c:pt idx="29">
                  <c:v>886</c:v>
                </c:pt>
                <c:pt idx="30">
                  <c:v>956</c:v>
                </c:pt>
                <c:pt idx="31">
                  <c:v>886</c:v>
                </c:pt>
                <c:pt idx="32">
                  <c:v>506</c:v>
                </c:pt>
                <c:pt idx="33">
                  <c:v>581</c:v>
                </c:pt>
                <c:pt idx="34">
                  <c:v>558</c:v>
                </c:pt>
                <c:pt idx="35">
                  <c:v>879</c:v>
                </c:pt>
                <c:pt idx="36">
                  <c:v>322</c:v>
                </c:pt>
                <c:pt idx="37">
                  <c:v>613</c:v>
                </c:pt>
                <c:pt idx="38">
                  <c:v>613</c:v>
                </c:pt>
                <c:pt idx="39">
                  <c:v>888</c:v>
                </c:pt>
                <c:pt idx="40">
                  <c:v>592</c:v>
                </c:pt>
                <c:pt idx="41">
                  <c:v>192</c:v>
                </c:pt>
                <c:pt idx="42">
                  <c:v>249</c:v>
                </c:pt>
                <c:pt idx="43">
                  <c:v>293</c:v>
                </c:pt>
                <c:pt idx="44">
                  <c:v>283</c:v>
                </c:pt>
                <c:pt idx="45">
                  <c:v>156</c:v>
                </c:pt>
                <c:pt idx="46">
                  <c:v>336</c:v>
                </c:pt>
                <c:pt idx="47">
                  <c:v>192</c:v>
                </c:pt>
                <c:pt idx="48">
                  <c:v>226</c:v>
                </c:pt>
                <c:pt idx="49">
                  <c:v>634</c:v>
                </c:pt>
                <c:pt idx="50">
                  <c:v>713</c:v>
                </c:pt>
                <c:pt idx="51">
                  <c:v>961</c:v>
                </c:pt>
                <c:pt idx="52">
                  <c:v>41</c:v>
                </c:pt>
                <c:pt idx="53">
                  <c:v>988</c:v>
                </c:pt>
                <c:pt idx="54">
                  <c:v>628</c:v>
                </c:pt>
                <c:pt idx="55">
                  <c:v>286</c:v>
                </c:pt>
                <c:pt idx="56">
                  <c:v>90</c:v>
                </c:pt>
                <c:pt idx="57">
                  <c:v>350</c:v>
                </c:pt>
                <c:pt idx="58">
                  <c:v>312</c:v>
                </c:pt>
                <c:pt idx="59">
                  <c:v>127</c:v>
                </c:pt>
                <c:pt idx="60">
                  <c:v>862</c:v>
                </c:pt>
                <c:pt idx="61">
                  <c:v>433</c:v>
                </c:pt>
                <c:pt idx="62">
                  <c:v>311</c:v>
                </c:pt>
                <c:pt idx="63">
                  <c:v>795</c:v>
                </c:pt>
                <c:pt idx="64">
                  <c:v>94</c:v>
                </c:pt>
                <c:pt idx="65">
                  <c:v>249</c:v>
                </c:pt>
                <c:pt idx="66">
                  <c:v>293</c:v>
                </c:pt>
                <c:pt idx="67">
                  <c:v>825</c:v>
                </c:pt>
                <c:pt idx="68">
                  <c:v>986</c:v>
                </c:pt>
                <c:pt idx="69">
                  <c:v>360</c:v>
                </c:pt>
                <c:pt idx="70">
                  <c:v>590</c:v>
                </c:pt>
                <c:pt idx="71">
                  <c:v>435</c:v>
                </c:pt>
                <c:pt idx="72">
                  <c:v>713</c:v>
                </c:pt>
                <c:pt idx="73">
                  <c:v>40</c:v>
                </c:pt>
                <c:pt idx="74">
                  <c:v>881</c:v>
                </c:pt>
                <c:pt idx="75">
                  <c:v>942</c:v>
                </c:pt>
                <c:pt idx="76">
                  <c:v>910</c:v>
                </c:pt>
                <c:pt idx="77">
                  <c:v>663</c:v>
                </c:pt>
                <c:pt idx="78">
                  <c:v>815</c:v>
                </c:pt>
                <c:pt idx="79">
                  <c:v>523</c:v>
                </c:pt>
                <c:pt idx="80">
                  <c:v>901</c:v>
                </c:pt>
                <c:pt idx="81">
                  <c:v>500</c:v>
                </c:pt>
                <c:pt idx="82">
                  <c:v>637</c:v>
                </c:pt>
                <c:pt idx="83">
                  <c:v>972</c:v>
                </c:pt>
                <c:pt idx="84">
                  <c:v>294</c:v>
                </c:pt>
                <c:pt idx="85">
                  <c:v>815</c:v>
                </c:pt>
                <c:pt idx="86">
                  <c:v>860</c:v>
                </c:pt>
                <c:pt idx="87">
                  <c:v>736</c:v>
                </c:pt>
                <c:pt idx="88">
                  <c:v>929</c:v>
                </c:pt>
                <c:pt idx="89">
                  <c:v>650</c:v>
                </c:pt>
                <c:pt idx="90">
                  <c:v>396</c:v>
                </c:pt>
                <c:pt idx="91">
                  <c:v>541</c:v>
                </c:pt>
                <c:pt idx="92">
                  <c:v>471</c:v>
                </c:pt>
                <c:pt idx="93">
                  <c:v>370</c:v>
                </c:pt>
                <c:pt idx="94">
                  <c:v>727</c:v>
                </c:pt>
                <c:pt idx="95">
                  <c:v>639</c:v>
                </c:pt>
                <c:pt idx="96">
                  <c:v>626</c:v>
                </c:pt>
                <c:pt idx="97">
                  <c:v>955</c:v>
                </c:pt>
                <c:pt idx="98">
                  <c:v>31</c:v>
                </c:pt>
                <c:pt idx="99">
                  <c:v>250</c:v>
                </c:pt>
                <c:pt idx="100">
                  <c:v>911</c:v>
                </c:pt>
                <c:pt idx="101">
                  <c:v>688</c:v>
                </c:pt>
                <c:pt idx="102">
                  <c:v>677</c:v>
                </c:pt>
                <c:pt idx="103">
                  <c:v>788</c:v>
                </c:pt>
                <c:pt idx="104">
                  <c:v>650</c:v>
                </c:pt>
                <c:pt idx="105">
                  <c:v>734</c:v>
                </c:pt>
                <c:pt idx="106">
                  <c:v>543</c:v>
                </c:pt>
                <c:pt idx="107">
                  <c:v>337</c:v>
                </c:pt>
                <c:pt idx="108">
                  <c:v>514</c:v>
                </c:pt>
                <c:pt idx="109">
                  <c:v>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11-41F8-8E8B-021E820C4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9911407"/>
        <c:axId val="1189909487"/>
      </c:lineChart>
      <c:catAx>
        <c:axId val="118991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89909487"/>
        <c:crosses val="autoZero"/>
        <c:auto val="1"/>
        <c:lblAlgn val="ctr"/>
        <c:lblOffset val="100"/>
        <c:noMultiLvlLbl val="0"/>
      </c:catAx>
      <c:valAx>
        <c:axId val="118990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8991140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2416144445421455"/>
          <c:y val="0.35322456289085341"/>
          <c:w val="7.194481409438748E-2"/>
          <c:h val="0.30861832001682687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2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sz="1400" b="0" i="0" u="none" strike="noStrike" baseline="0"/>
              <a:t>Forecasting Techniques for Item "A"</a:t>
            </a: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Original data</c:v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'Summary and comparion'!$B$2:$K$2</c:f>
              <c:strCache>
                <c:ptCount val="10"/>
                <c:pt idx="0">
                  <c:v>W101</c:v>
                </c:pt>
                <c:pt idx="1">
                  <c:v>W102</c:v>
                </c:pt>
                <c:pt idx="2">
                  <c:v>W103</c:v>
                </c:pt>
                <c:pt idx="3">
                  <c:v>W104</c:v>
                </c:pt>
                <c:pt idx="4">
                  <c:v>W105</c:v>
                </c:pt>
                <c:pt idx="5">
                  <c:v>W106</c:v>
                </c:pt>
                <c:pt idx="6">
                  <c:v>W107</c:v>
                </c:pt>
                <c:pt idx="7">
                  <c:v>W108</c:v>
                </c:pt>
                <c:pt idx="8">
                  <c:v>W109</c:v>
                </c:pt>
                <c:pt idx="9">
                  <c:v>W110</c:v>
                </c:pt>
              </c:strCache>
            </c:strRef>
          </c:cat>
          <c:val>
            <c:numRef>
              <c:f>'Summary and comparion'!$B$3:$K$3</c:f>
              <c:numCache>
                <c:formatCode>0.00</c:formatCode>
                <c:ptCount val="10"/>
                <c:pt idx="0">
                  <c:v>3</c:v>
                </c:pt>
                <c:pt idx="1">
                  <c:v>12</c:v>
                </c:pt>
                <c:pt idx="2">
                  <c:v>41</c:v>
                </c:pt>
                <c:pt idx="3">
                  <c:v>2</c:v>
                </c:pt>
                <c:pt idx="4">
                  <c:v>31</c:v>
                </c:pt>
                <c:pt idx="5">
                  <c:v>2</c:v>
                </c:pt>
                <c:pt idx="6">
                  <c:v>43</c:v>
                </c:pt>
                <c:pt idx="7">
                  <c:v>43</c:v>
                </c:pt>
                <c:pt idx="8">
                  <c:v>22</c:v>
                </c:pt>
                <c:pt idx="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CF-443D-B738-2F24C77979ED}"/>
            </c:ext>
          </c:extLst>
        </c:ser>
        <c:ser>
          <c:idx val="1"/>
          <c:order val="1"/>
          <c:tx>
            <c:v>Naive forcasting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'Summary and comparion'!$B$12:$K$12</c:f>
              <c:numCache>
                <c:formatCode>0.00</c:formatCode>
                <c:ptCount val="10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32</c:v>
                </c:pt>
                <c:pt idx="4">
                  <c:v>32</c:v>
                </c:pt>
                <c:pt idx="5">
                  <c:v>32</c:v>
                </c:pt>
                <c:pt idx="6">
                  <c:v>32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CF-443D-B738-2F24C77979ED}"/>
            </c:ext>
          </c:extLst>
        </c:ser>
        <c:ser>
          <c:idx val="2"/>
          <c:order val="2"/>
          <c:tx>
            <c:v>Moving a. forecasting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'Summary and comparion'!$B$21:$K$21</c:f>
              <c:numCache>
                <c:formatCode>0.00</c:formatCode>
                <c:ptCount val="10"/>
                <c:pt idx="0">
                  <c:v>25.333333333333332</c:v>
                </c:pt>
                <c:pt idx="1">
                  <c:v>25.041666666666668</c:v>
                </c:pt>
                <c:pt idx="2">
                  <c:v>27.921875</c:v>
                </c:pt>
                <c:pt idx="3">
                  <c:v>27.537109375</c:v>
                </c:pt>
                <c:pt idx="4">
                  <c:v>30.729248046875</c:v>
                </c:pt>
                <c:pt idx="5">
                  <c:v>29.195404052734375</c:v>
                </c:pt>
                <c:pt idx="6">
                  <c:v>27.469829559326172</c:v>
                </c:pt>
                <c:pt idx="7">
                  <c:v>28.153558254241943</c:v>
                </c:pt>
                <c:pt idx="8">
                  <c:v>27.672753036022186</c:v>
                </c:pt>
                <c:pt idx="9">
                  <c:v>27.965180498858295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CF-443D-B738-2F24C77979ED}"/>
            </c:ext>
          </c:extLst>
        </c:ser>
        <c:ser>
          <c:idx val="3"/>
          <c:order val="3"/>
          <c:tx>
            <c:v>SES forecasting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'Summary and comparion'!$B$30:$K$30</c:f>
              <c:numCache>
                <c:formatCode>0.00</c:formatCode>
                <c:ptCount val="10"/>
                <c:pt idx="0">
                  <c:v>29.794500315072277</c:v>
                </c:pt>
                <c:pt idx="1">
                  <c:v>29.794500315072277</c:v>
                </c:pt>
                <c:pt idx="2">
                  <c:v>29.794500315072277</c:v>
                </c:pt>
                <c:pt idx="3">
                  <c:v>29.794500315072277</c:v>
                </c:pt>
                <c:pt idx="4">
                  <c:v>29.794500315072277</c:v>
                </c:pt>
                <c:pt idx="5">
                  <c:v>29.794500315072277</c:v>
                </c:pt>
                <c:pt idx="6">
                  <c:v>29.794500315072277</c:v>
                </c:pt>
                <c:pt idx="7">
                  <c:v>29.794500315072277</c:v>
                </c:pt>
                <c:pt idx="8">
                  <c:v>29.794500315072277</c:v>
                </c:pt>
                <c:pt idx="9">
                  <c:v>29.794500315072277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CF-443D-B738-2F24C77979ED}"/>
            </c:ext>
          </c:extLst>
        </c:ser>
        <c:ser>
          <c:idx val="4"/>
          <c:order val="4"/>
          <c:tx>
            <c:v>HOLT exp. forecasting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'Summary and comparion'!$B$40:$K$40</c:f>
              <c:numCache>
                <c:formatCode>0.00</c:formatCode>
                <c:ptCount val="10"/>
                <c:pt idx="0">
                  <c:v>9.4996787302440495</c:v>
                </c:pt>
                <c:pt idx="1">
                  <c:v>11.99971474892266</c:v>
                </c:pt>
                <c:pt idx="2">
                  <c:v>14.499750767601268</c:v>
                </c:pt>
                <c:pt idx="3">
                  <c:v>16.999786786279877</c:v>
                </c:pt>
                <c:pt idx="4">
                  <c:v>19.499822804958484</c:v>
                </c:pt>
                <c:pt idx="5">
                  <c:v>21.999858823637098</c:v>
                </c:pt>
                <c:pt idx="6">
                  <c:v>24.499894842315705</c:v>
                </c:pt>
                <c:pt idx="7">
                  <c:v>26.999930860994311</c:v>
                </c:pt>
                <c:pt idx="8">
                  <c:v>29.499966879672925</c:v>
                </c:pt>
                <c:pt idx="9">
                  <c:v>32.000002898351532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DCF-443D-B738-2F24C77979ED}"/>
            </c:ext>
          </c:extLst>
        </c:ser>
        <c:ser>
          <c:idx val="5"/>
          <c:order val="5"/>
          <c:tx>
            <c:v>ARIMA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'Summary and comparion'!$B$50:$K$50</c:f>
              <c:numCache>
                <c:formatCode>0.00</c:formatCode>
                <c:ptCount val="10"/>
                <c:pt idx="0">
                  <c:v>8.4499999999999993</c:v>
                </c:pt>
                <c:pt idx="1">
                  <c:v>18.62</c:v>
                </c:pt>
                <c:pt idx="2">
                  <c:v>21.82</c:v>
                </c:pt>
                <c:pt idx="3">
                  <c:v>22.83</c:v>
                </c:pt>
                <c:pt idx="4">
                  <c:v>23.15</c:v>
                </c:pt>
                <c:pt idx="5">
                  <c:v>23.25</c:v>
                </c:pt>
                <c:pt idx="6">
                  <c:v>23.28</c:v>
                </c:pt>
                <c:pt idx="7">
                  <c:v>23.29</c:v>
                </c:pt>
                <c:pt idx="8">
                  <c:v>23.29</c:v>
                </c:pt>
                <c:pt idx="9">
                  <c:v>23.29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E8-4F9B-86E7-C5BCECD1A48D}"/>
            </c:ext>
          </c:extLst>
        </c:ser>
        <c:ser>
          <c:idx val="6"/>
          <c:order val="6"/>
          <c:tx>
            <c:v>Mod. LSTM</c:v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'Summary and comparion'!$B$60:$K$60</c:f>
              <c:numCache>
                <c:formatCode>0.00</c:formatCode>
                <c:ptCount val="10"/>
                <c:pt idx="0">
                  <c:v>4.5</c:v>
                </c:pt>
                <c:pt idx="1">
                  <c:v>11.8</c:v>
                </c:pt>
                <c:pt idx="2">
                  <c:v>40.1</c:v>
                </c:pt>
                <c:pt idx="3">
                  <c:v>-0.4</c:v>
                </c:pt>
                <c:pt idx="4">
                  <c:v>30.2</c:v>
                </c:pt>
                <c:pt idx="5">
                  <c:v>4.3</c:v>
                </c:pt>
                <c:pt idx="6">
                  <c:v>45</c:v>
                </c:pt>
                <c:pt idx="7">
                  <c:v>44.4</c:v>
                </c:pt>
                <c:pt idx="8">
                  <c:v>22.7</c:v>
                </c:pt>
                <c:pt idx="9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E8-4F9B-86E7-C5BCECD1A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2911295"/>
        <c:axId val="1362906015"/>
      </c:lineChart>
      <c:catAx>
        <c:axId val="136291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362906015"/>
        <c:crosses val="autoZero"/>
        <c:auto val="1"/>
        <c:lblAlgn val="ctr"/>
        <c:lblOffset val="100"/>
        <c:noMultiLvlLbl val="0"/>
      </c:catAx>
      <c:valAx>
        <c:axId val="136290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36291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sz="1400" b="0" i="0" u="none" strike="noStrike" baseline="0"/>
              <a:t>Forecasting Techniques for Item "E"</a:t>
            </a: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Original data</c:v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'Summary and comparion'!$B$2:$K$2</c:f>
              <c:strCache>
                <c:ptCount val="10"/>
                <c:pt idx="0">
                  <c:v>W101</c:v>
                </c:pt>
                <c:pt idx="1">
                  <c:v>W102</c:v>
                </c:pt>
                <c:pt idx="2">
                  <c:v>W103</c:v>
                </c:pt>
                <c:pt idx="3">
                  <c:v>W104</c:v>
                </c:pt>
                <c:pt idx="4">
                  <c:v>W105</c:v>
                </c:pt>
                <c:pt idx="5">
                  <c:v>W106</c:v>
                </c:pt>
                <c:pt idx="6">
                  <c:v>W107</c:v>
                </c:pt>
                <c:pt idx="7">
                  <c:v>W108</c:v>
                </c:pt>
                <c:pt idx="8">
                  <c:v>W109</c:v>
                </c:pt>
                <c:pt idx="9">
                  <c:v>W110</c:v>
                </c:pt>
              </c:strCache>
            </c:strRef>
          </c:cat>
          <c:val>
            <c:numRef>
              <c:f>'Summary and comparion'!$B$7:$K$7</c:f>
              <c:numCache>
                <c:formatCode>0.00</c:formatCode>
                <c:ptCount val="10"/>
                <c:pt idx="0">
                  <c:v>911</c:v>
                </c:pt>
                <c:pt idx="1">
                  <c:v>688</c:v>
                </c:pt>
                <c:pt idx="2">
                  <c:v>677</c:v>
                </c:pt>
                <c:pt idx="3">
                  <c:v>788</c:v>
                </c:pt>
                <c:pt idx="4">
                  <c:v>650</c:v>
                </c:pt>
                <c:pt idx="5">
                  <c:v>734</c:v>
                </c:pt>
                <c:pt idx="6">
                  <c:v>543</c:v>
                </c:pt>
                <c:pt idx="7">
                  <c:v>337</c:v>
                </c:pt>
                <c:pt idx="8">
                  <c:v>514</c:v>
                </c:pt>
                <c:pt idx="9">
                  <c:v>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11-49BD-889E-8CF7E8F330F9}"/>
            </c:ext>
          </c:extLst>
        </c:ser>
        <c:ser>
          <c:idx val="1"/>
          <c:order val="1"/>
          <c:tx>
            <c:v>Naive forcasting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'Summary and comparion'!$B$16:$K$16</c:f>
              <c:numCache>
                <c:formatCode>0.00</c:formatCode>
                <c:ptCount val="1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11-49BD-889E-8CF7E8F330F9}"/>
            </c:ext>
          </c:extLst>
        </c:ser>
        <c:ser>
          <c:idx val="2"/>
          <c:order val="2"/>
          <c:tx>
            <c:v>Moving a. forecasting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'Summary and comparion'!$B$25:$K$25</c:f>
              <c:numCache>
                <c:formatCode>0.00</c:formatCode>
                <c:ptCount val="10"/>
                <c:pt idx="0">
                  <c:v>512.22222222222217</c:v>
                </c:pt>
                <c:pt idx="1">
                  <c:v>509.02469135802471</c:v>
                </c:pt>
                <c:pt idx="2">
                  <c:v>513.24965706447199</c:v>
                </c:pt>
                <c:pt idx="3">
                  <c:v>529.16628562719097</c:v>
                </c:pt>
                <c:pt idx="4">
                  <c:v>507.18476180798996</c:v>
                </c:pt>
                <c:pt idx="5">
                  <c:v>492.53862423109996</c:v>
                </c:pt>
                <c:pt idx="6">
                  <c:v>477.70958247899995</c:v>
                </c:pt>
                <c:pt idx="7">
                  <c:v>424.67731386555556</c:v>
                </c:pt>
                <c:pt idx="8">
                  <c:v>468.41923762839502</c:v>
                </c:pt>
                <c:pt idx="9">
                  <c:v>492.68804180932784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11-49BD-889E-8CF7E8F330F9}"/>
            </c:ext>
          </c:extLst>
        </c:ser>
        <c:ser>
          <c:idx val="3"/>
          <c:order val="3"/>
          <c:tx>
            <c:v>SES forecasting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'Summary and comparion'!$B$34:$K$34</c:f>
              <c:numCache>
                <c:formatCode>0.00</c:formatCode>
                <c:ptCount val="10"/>
                <c:pt idx="0">
                  <c:v>670.66876252057716</c:v>
                </c:pt>
                <c:pt idx="1">
                  <c:v>670.66876252057716</c:v>
                </c:pt>
                <c:pt idx="2">
                  <c:v>670.66876252057716</c:v>
                </c:pt>
                <c:pt idx="3">
                  <c:v>670.66876252057716</c:v>
                </c:pt>
                <c:pt idx="4">
                  <c:v>670.66876252057716</c:v>
                </c:pt>
                <c:pt idx="5">
                  <c:v>670.66876252057716</c:v>
                </c:pt>
                <c:pt idx="6">
                  <c:v>670.66876252057716</c:v>
                </c:pt>
                <c:pt idx="7">
                  <c:v>670.66876252057716</c:v>
                </c:pt>
                <c:pt idx="8">
                  <c:v>670.66876252057716</c:v>
                </c:pt>
                <c:pt idx="9">
                  <c:v>670.66876252057716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11-49BD-889E-8CF7E8F330F9}"/>
            </c:ext>
          </c:extLst>
        </c:ser>
        <c:ser>
          <c:idx val="4"/>
          <c:order val="4"/>
          <c:tx>
            <c:v>HOLT exp. forecasting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'Summary and comparion'!$B$44:$K$44</c:f>
              <c:numCache>
                <c:formatCode>0.00</c:formatCode>
                <c:ptCount val="10"/>
                <c:pt idx="0">
                  <c:v>843.38103192307483</c:v>
                </c:pt>
                <c:pt idx="1">
                  <c:v>793.31755129710973</c:v>
                </c:pt>
                <c:pt idx="2">
                  <c:v>743.25407067114452</c:v>
                </c:pt>
                <c:pt idx="3">
                  <c:v>693.19059004517953</c:v>
                </c:pt>
                <c:pt idx="4">
                  <c:v>643.12710941921432</c:v>
                </c:pt>
                <c:pt idx="5">
                  <c:v>593.06362879324922</c:v>
                </c:pt>
                <c:pt idx="6">
                  <c:v>543.00014816728412</c:v>
                </c:pt>
                <c:pt idx="7">
                  <c:v>492.93666754131903</c:v>
                </c:pt>
                <c:pt idx="8">
                  <c:v>442.87318691535393</c:v>
                </c:pt>
                <c:pt idx="9">
                  <c:v>392.80970628938883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511-49BD-889E-8CF7E8F330F9}"/>
            </c:ext>
          </c:extLst>
        </c:ser>
        <c:ser>
          <c:idx val="5"/>
          <c:order val="5"/>
          <c:tx>
            <c:v>ARIMA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'Summary and comparion'!$B$54:$K$54</c:f>
              <c:numCache>
                <c:formatCode>0.00</c:formatCode>
                <c:ptCount val="10"/>
                <c:pt idx="0">
                  <c:v>547.57000000000005</c:v>
                </c:pt>
                <c:pt idx="1">
                  <c:v>568.72</c:v>
                </c:pt>
                <c:pt idx="2">
                  <c:v>570.9</c:v>
                </c:pt>
                <c:pt idx="3">
                  <c:v>571.79</c:v>
                </c:pt>
                <c:pt idx="4">
                  <c:v>572.58000000000004</c:v>
                </c:pt>
                <c:pt idx="5">
                  <c:v>573.37</c:v>
                </c:pt>
                <c:pt idx="6">
                  <c:v>574.15</c:v>
                </c:pt>
                <c:pt idx="7">
                  <c:v>574.94000000000005</c:v>
                </c:pt>
                <c:pt idx="8">
                  <c:v>575.73</c:v>
                </c:pt>
                <c:pt idx="9">
                  <c:v>576.51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17-42AF-BA47-50D4E0F01590}"/>
            </c:ext>
          </c:extLst>
        </c:ser>
        <c:ser>
          <c:idx val="6"/>
          <c:order val="6"/>
          <c:tx>
            <c:v>Mod. LSTM</c:v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'Summary and comparion'!$B$64:$K$64</c:f>
              <c:numCache>
                <c:formatCode>0.00</c:formatCode>
                <c:ptCount val="10"/>
                <c:pt idx="0">
                  <c:v>549</c:v>
                </c:pt>
                <c:pt idx="1">
                  <c:v>533.29999999999995</c:v>
                </c:pt>
                <c:pt idx="2">
                  <c:v>537.1</c:v>
                </c:pt>
                <c:pt idx="3">
                  <c:v>590.79999999999995</c:v>
                </c:pt>
                <c:pt idx="4">
                  <c:v>571.1</c:v>
                </c:pt>
                <c:pt idx="5">
                  <c:v>567.1</c:v>
                </c:pt>
                <c:pt idx="6">
                  <c:v>558.70000000000005</c:v>
                </c:pt>
                <c:pt idx="7">
                  <c:v>559.5</c:v>
                </c:pt>
                <c:pt idx="8">
                  <c:v>600.5</c:v>
                </c:pt>
                <c:pt idx="9">
                  <c:v>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17-42AF-BA47-50D4E0F01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2911295"/>
        <c:axId val="1362906015"/>
      </c:lineChart>
      <c:catAx>
        <c:axId val="136291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362906015"/>
        <c:crosses val="autoZero"/>
        <c:auto val="1"/>
        <c:lblAlgn val="ctr"/>
        <c:lblOffset val="100"/>
        <c:noMultiLvlLbl val="0"/>
      </c:catAx>
      <c:valAx>
        <c:axId val="136290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36291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Item A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'Normalised solutions'!$B$1:$DG$1</c:f>
              <c:strCache>
                <c:ptCount val="110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  <c:pt idx="7">
                  <c:v>Week8</c:v>
                </c:pt>
                <c:pt idx="8">
                  <c:v>Week9</c:v>
                </c:pt>
                <c:pt idx="9">
                  <c:v>Week10</c:v>
                </c:pt>
                <c:pt idx="10">
                  <c:v>Week11</c:v>
                </c:pt>
                <c:pt idx="11">
                  <c:v>Week12</c:v>
                </c:pt>
                <c:pt idx="12">
                  <c:v>Week13</c:v>
                </c:pt>
                <c:pt idx="13">
                  <c:v>Week14</c:v>
                </c:pt>
                <c:pt idx="14">
                  <c:v>Week15</c:v>
                </c:pt>
                <c:pt idx="15">
                  <c:v>Week16</c:v>
                </c:pt>
                <c:pt idx="16">
                  <c:v>Week17</c:v>
                </c:pt>
                <c:pt idx="17">
                  <c:v>Week18</c:v>
                </c:pt>
                <c:pt idx="18">
                  <c:v>Week19</c:v>
                </c:pt>
                <c:pt idx="19">
                  <c:v>Week20</c:v>
                </c:pt>
                <c:pt idx="20">
                  <c:v>Week21</c:v>
                </c:pt>
                <c:pt idx="21">
                  <c:v>Week22</c:v>
                </c:pt>
                <c:pt idx="22">
                  <c:v>Week23</c:v>
                </c:pt>
                <c:pt idx="23">
                  <c:v>Week24</c:v>
                </c:pt>
                <c:pt idx="24">
                  <c:v>Week25</c:v>
                </c:pt>
                <c:pt idx="25">
                  <c:v>Week26</c:v>
                </c:pt>
                <c:pt idx="26">
                  <c:v>Week27</c:v>
                </c:pt>
                <c:pt idx="27">
                  <c:v>Week28</c:v>
                </c:pt>
                <c:pt idx="28">
                  <c:v>Week29</c:v>
                </c:pt>
                <c:pt idx="29">
                  <c:v>Week30</c:v>
                </c:pt>
                <c:pt idx="30">
                  <c:v>Week31</c:v>
                </c:pt>
                <c:pt idx="31">
                  <c:v>Week32</c:v>
                </c:pt>
                <c:pt idx="32">
                  <c:v>Week33</c:v>
                </c:pt>
                <c:pt idx="33">
                  <c:v>Week34</c:v>
                </c:pt>
                <c:pt idx="34">
                  <c:v>Week35</c:v>
                </c:pt>
                <c:pt idx="35">
                  <c:v>Week36</c:v>
                </c:pt>
                <c:pt idx="36">
                  <c:v>Week37</c:v>
                </c:pt>
                <c:pt idx="37">
                  <c:v>Week38</c:v>
                </c:pt>
                <c:pt idx="38">
                  <c:v>Week39</c:v>
                </c:pt>
                <c:pt idx="39">
                  <c:v>Week40</c:v>
                </c:pt>
                <c:pt idx="40">
                  <c:v>Week41</c:v>
                </c:pt>
                <c:pt idx="41">
                  <c:v>Week42</c:v>
                </c:pt>
                <c:pt idx="42">
                  <c:v>Week43</c:v>
                </c:pt>
                <c:pt idx="43">
                  <c:v>Week44</c:v>
                </c:pt>
                <c:pt idx="44">
                  <c:v>Week45</c:v>
                </c:pt>
                <c:pt idx="45">
                  <c:v>Week46</c:v>
                </c:pt>
                <c:pt idx="46">
                  <c:v>Week47</c:v>
                </c:pt>
                <c:pt idx="47">
                  <c:v>Week48</c:v>
                </c:pt>
                <c:pt idx="48">
                  <c:v>Week49</c:v>
                </c:pt>
                <c:pt idx="49">
                  <c:v>Week50</c:v>
                </c:pt>
                <c:pt idx="50">
                  <c:v>Week51</c:v>
                </c:pt>
                <c:pt idx="51">
                  <c:v>Week52</c:v>
                </c:pt>
                <c:pt idx="52">
                  <c:v>Week53</c:v>
                </c:pt>
                <c:pt idx="53">
                  <c:v>Week54</c:v>
                </c:pt>
                <c:pt idx="54">
                  <c:v>Week55</c:v>
                </c:pt>
                <c:pt idx="55">
                  <c:v>Week56</c:v>
                </c:pt>
                <c:pt idx="56">
                  <c:v>Week57</c:v>
                </c:pt>
                <c:pt idx="57">
                  <c:v>Week58</c:v>
                </c:pt>
                <c:pt idx="58">
                  <c:v>Week59</c:v>
                </c:pt>
                <c:pt idx="59">
                  <c:v>Week60</c:v>
                </c:pt>
                <c:pt idx="60">
                  <c:v>Week61</c:v>
                </c:pt>
                <c:pt idx="61">
                  <c:v>Week62</c:v>
                </c:pt>
                <c:pt idx="62">
                  <c:v>Week63</c:v>
                </c:pt>
                <c:pt idx="63">
                  <c:v>Week64</c:v>
                </c:pt>
                <c:pt idx="64">
                  <c:v>Week65</c:v>
                </c:pt>
                <c:pt idx="65">
                  <c:v>Week66</c:v>
                </c:pt>
                <c:pt idx="66">
                  <c:v>Week67</c:v>
                </c:pt>
                <c:pt idx="67">
                  <c:v>Week68</c:v>
                </c:pt>
                <c:pt idx="68">
                  <c:v>Week69</c:v>
                </c:pt>
                <c:pt idx="69">
                  <c:v>Week70</c:v>
                </c:pt>
                <c:pt idx="70">
                  <c:v>Week71</c:v>
                </c:pt>
                <c:pt idx="71">
                  <c:v>Week72</c:v>
                </c:pt>
                <c:pt idx="72">
                  <c:v>Week73</c:v>
                </c:pt>
                <c:pt idx="73">
                  <c:v>Week74</c:v>
                </c:pt>
                <c:pt idx="74">
                  <c:v>Week75</c:v>
                </c:pt>
                <c:pt idx="75">
                  <c:v>Week76</c:v>
                </c:pt>
                <c:pt idx="76">
                  <c:v>Week77</c:v>
                </c:pt>
                <c:pt idx="77">
                  <c:v>Week78</c:v>
                </c:pt>
                <c:pt idx="78">
                  <c:v>Week79</c:v>
                </c:pt>
                <c:pt idx="79">
                  <c:v>Week80</c:v>
                </c:pt>
                <c:pt idx="80">
                  <c:v>Week81</c:v>
                </c:pt>
                <c:pt idx="81">
                  <c:v>Week82</c:v>
                </c:pt>
                <c:pt idx="82">
                  <c:v>Week83</c:v>
                </c:pt>
                <c:pt idx="83">
                  <c:v>Week84</c:v>
                </c:pt>
                <c:pt idx="84">
                  <c:v>Week85</c:v>
                </c:pt>
                <c:pt idx="85">
                  <c:v>Week86</c:v>
                </c:pt>
                <c:pt idx="86">
                  <c:v>Week87</c:v>
                </c:pt>
                <c:pt idx="87">
                  <c:v>Week88</c:v>
                </c:pt>
                <c:pt idx="88">
                  <c:v>Week89</c:v>
                </c:pt>
                <c:pt idx="89">
                  <c:v>Week90</c:v>
                </c:pt>
                <c:pt idx="90">
                  <c:v>Week91</c:v>
                </c:pt>
                <c:pt idx="91">
                  <c:v>Week92</c:v>
                </c:pt>
                <c:pt idx="92">
                  <c:v>Week93</c:v>
                </c:pt>
                <c:pt idx="93">
                  <c:v>Week94</c:v>
                </c:pt>
                <c:pt idx="94">
                  <c:v>Week95</c:v>
                </c:pt>
                <c:pt idx="95">
                  <c:v>Week96</c:v>
                </c:pt>
                <c:pt idx="96">
                  <c:v>Week97</c:v>
                </c:pt>
                <c:pt idx="97">
                  <c:v>Week98</c:v>
                </c:pt>
                <c:pt idx="98">
                  <c:v>Week99</c:v>
                </c:pt>
                <c:pt idx="99">
                  <c:v>Week100</c:v>
                </c:pt>
                <c:pt idx="100">
                  <c:v>Week101</c:v>
                </c:pt>
                <c:pt idx="101">
                  <c:v>Week102</c:v>
                </c:pt>
                <c:pt idx="102">
                  <c:v>Week103</c:v>
                </c:pt>
                <c:pt idx="103">
                  <c:v>Week104</c:v>
                </c:pt>
                <c:pt idx="104">
                  <c:v>Week105</c:v>
                </c:pt>
                <c:pt idx="105">
                  <c:v>Week106</c:v>
                </c:pt>
                <c:pt idx="106">
                  <c:v>Week107</c:v>
                </c:pt>
                <c:pt idx="107">
                  <c:v>Week108</c:v>
                </c:pt>
                <c:pt idx="108">
                  <c:v>Week109</c:v>
                </c:pt>
                <c:pt idx="109">
                  <c:v>Week110</c:v>
                </c:pt>
              </c:strCache>
            </c:strRef>
          </c:cat>
          <c:val>
            <c:numRef>
              <c:f>'Normalised solutions'!$B$2:$DG$2</c:f>
              <c:numCache>
                <c:formatCode>General</c:formatCode>
                <c:ptCount val="110"/>
                <c:pt idx="0">
                  <c:v>6.9767441860465115E-2</c:v>
                </c:pt>
                <c:pt idx="1">
                  <c:v>0.27906976744186046</c:v>
                </c:pt>
                <c:pt idx="2">
                  <c:v>0.95348837209302328</c:v>
                </c:pt>
                <c:pt idx="3">
                  <c:v>4.6511627906976744E-2</c:v>
                </c:pt>
                <c:pt idx="4">
                  <c:v>0.72093023255813948</c:v>
                </c:pt>
                <c:pt idx="5">
                  <c:v>4.6511627906976744E-2</c:v>
                </c:pt>
                <c:pt idx="6">
                  <c:v>1</c:v>
                </c:pt>
                <c:pt idx="7">
                  <c:v>1</c:v>
                </c:pt>
                <c:pt idx="8">
                  <c:v>0.51162790697674421</c:v>
                </c:pt>
                <c:pt idx="9">
                  <c:v>0.7441860465116279</c:v>
                </c:pt>
                <c:pt idx="10">
                  <c:v>6.9767441860465115E-2</c:v>
                </c:pt>
                <c:pt idx="11">
                  <c:v>0.27906976744186046</c:v>
                </c:pt>
                <c:pt idx="12">
                  <c:v>0.95348837209302328</c:v>
                </c:pt>
                <c:pt idx="13">
                  <c:v>4.6511627906976744E-2</c:v>
                </c:pt>
                <c:pt idx="14">
                  <c:v>0.72093023255813948</c:v>
                </c:pt>
                <c:pt idx="15">
                  <c:v>4.6511627906976744E-2</c:v>
                </c:pt>
                <c:pt idx="16">
                  <c:v>1</c:v>
                </c:pt>
                <c:pt idx="17">
                  <c:v>1</c:v>
                </c:pt>
                <c:pt idx="18">
                  <c:v>0.51162790697674421</c:v>
                </c:pt>
                <c:pt idx="19">
                  <c:v>0.7441860465116279</c:v>
                </c:pt>
                <c:pt idx="20">
                  <c:v>6.9767441860465115E-2</c:v>
                </c:pt>
                <c:pt idx="21">
                  <c:v>0.27906976744186046</c:v>
                </c:pt>
                <c:pt idx="22">
                  <c:v>0.95348837209302328</c:v>
                </c:pt>
                <c:pt idx="23">
                  <c:v>4.6511627906976744E-2</c:v>
                </c:pt>
                <c:pt idx="24">
                  <c:v>0.72093023255813948</c:v>
                </c:pt>
                <c:pt idx="25">
                  <c:v>4.6511627906976744E-2</c:v>
                </c:pt>
                <c:pt idx="26">
                  <c:v>1</c:v>
                </c:pt>
                <c:pt idx="27">
                  <c:v>1</c:v>
                </c:pt>
                <c:pt idx="28">
                  <c:v>0.51162790697674421</c:v>
                </c:pt>
                <c:pt idx="29">
                  <c:v>0.7441860465116279</c:v>
                </c:pt>
                <c:pt idx="30">
                  <c:v>6.9767441860465115E-2</c:v>
                </c:pt>
                <c:pt idx="31">
                  <c:v>0.27906976744186046</c:v>
                </c:pt>
                <c:pt idx="32">
                  <c:v>0.95348837209302328</c:v>
                </c:pt>
                <c:pt idx="33">
                  <c:v>4.6511627906976744E-2</c:v>
                </c:pt>
                <c:pt idx="34">
                  <c:v>0.72093023255813948</c:v>
                </c:pt>
                <c:pt idx="35">
                  <c:v>4.6511627906976744E-2</c:v>
                </c:pt>
                <c:pt idx="36">
                  <c:v>1</c:v>
                </c:pt>
                <c:pt idx="37">
                  <c:v>1</c:v>
                </c:pt>
                <c:pt idx="38">
                  <c:v>0.51162790697674421</c:v>
                </c:pt>
                <c:pt idx="39">
                  <c:v>0.7441860465116279</c:v>
                </c:pt>
                <c:pt idx="40">
                  <c:v>6.9767441860465115E-2</c:v>
                </c:pt>
                <c:pt idx="41">
                  <c:v>0.27906976744186046</c:v>
                </c:pt>
                <c:pt idx="42">
                  <c:v>0.95348837209302328</c:v>
                </c:pt>
                <c:pt idx="43">
                  <c:v>4.6511627906976744E-2</c:v>
                </c:pt>
                <c:pt idx="44">
                  <c:v>0.72093023255813948</c:v>
                </c:pt>
                <c:pt idx="45">
                  <c:v>4.6511627906976744E-2</c:v>
                </c:pt>
                <c:pt idx="46">
                  <c:v>1</c:v>
                </c:pt>
                <c:pt idx="47">
                  <c:v>1</c:v>
                </c:pt>
                <c:pt idx="48">
                  <c:v>0.51162790697674421</c:v>
                </c:pt>
                <c:pt idx="49">
                  <c:v>0.7441860465116279</c:v>
                </c:pt>
                <c:pt idx="50">
                  <c:v>6.9767441860465115E-2</c:v>
                </c:pt>
                <c:pt idx="51">
                  <c:v>0.27906976744186046</c:v>
                </c:pt>
                <c:pt idx="52">
                  <c:v>0.95348837209302328</c:v>
                </c:pt>
                <c:pt idx="53">
                  <c:v>4.6511627906976744E-2</c:v>
                </c:pt>
                <c:pt idx="54">
                  <c:v>0.72093023255813948</c:v>
                </c:pt>
                <c:pt idx="55">
                  <c:v>4.6511627906976744E-2</c:v>
                </c:pt>
                <c:pt idx="56">
                  <c:v>1</c:v>
                </c:pt>
                <c:pt idx="57">
                  <c:v>1</c:v>
                </c:pt>
                <c:pt idx="58">
                  <c:v>0.51162790697674421</c:v>
                </c:pt>
                <c:pt idx="59">
                  <c:v>0.7441860465116279</c:v>
                </c:pt>
                <c:pt idx="60">
                  <c:v>6.9767441860465115E-2</c:v>
                </c:pt>
                <c:pt idx="61">
                  <c:v>0.27906976744186046</c:v>
                </c:pt>
                <c:pt idx="62">
                  <c:v>0.95348837209302328</c:v>
                </c:pt>
                <c:pt idx="63">
                  <c:v>4.6511627906976744E-2</c:v>
                </c:pt>
                <c:pt idx="64">
                  <c:v>0.72093023255813948</c:v>
                </c:pt>
                <c:pt idx="65">
                  <c:v>4.6511627906976744E-2</c:v>
                </c:pt>
                <c:pt idx="66">
                  <c:v>1</c:v>
                </c:pt>
                <c:pt idx="67">
                  <c:v>1</c:v>
                </c:pt>
                <c:pt idx="68">
                  <c:v>0.51162790697674421</c:v>
                </c:pt>
                <c:pt idx="69">
                  <c:v>0.7441860465116279</c:v>
                </c:pt>
                <c:pt idx="70">
                  <c:v>6.9767441860465115E-2</c:v>
                </c:pt>
                <c:pt idx="71">
                  <c:v>0.27906976744186046</c:v>
                </c:pt>
                <c:pt idx="72">
                  <c:v>0.95348837209302328</c:v>
                </c:pt>
                <c:pt idx="73">
                  <c:v>4.6511627906976744E-2</c:v>
                </c:pt>
                <c:pt idx="74">
                  <c:v>0.72093023255813948</c:v>
                </c:pt>
                <c:pt idx="75">
                  <c:v>4.6511627906976744E-2</c:v>
                </c:pt>
                <c:pt idx="76">
                  <c:v>1</c:v>
                </c:pt>
                <c:pt idx="77">
                  <c:v>1</c:v>
                </c:pt>
                <c:pt idx="78">
                  <c:v>0.51162790697674421</c:v>
                </c:pt>
                <c:pt idx="79">
                  <c:v>0.7441860465116279</c:v>
                </c:pt>
                <c:pt idx="80">
                  <c:v>6.9767441860465115E-2</c:v>
                </c:pt>
                <c:pt idx="81">
                  <c:v>0.27906976744186046</c:v>
                </c:pt>
                <c:pt idx="82">
                  <c:v>0.95348837209302328</c:v>
                </c:pt>
                <c:pt idx="83">
                  <c:v>4.6511627906976744E-2</c:v>
                </c:pt>
                <c:pt idx="84">
                  <c:v>0.72093023255813948</c:v>
                </c:pt>
                <c:pt idx="85">
                  <c:v>4.6511627906976744E-2</c:v>
                </c:pt>
                <c:pt idx="86">
                  <c:v>1</c:v>
                </c:pt>
                <c:pt idx="87">
                  <c:v>1</c:v>
                </c:pt>
                <c:pt idx="88">
                  <c:v>0.51162790697674421</c:v>
                </c:pt>
                <c:pt idx="89">
                  <c:v>0.7441860465116279</c:v>
                </c:pt>
                <c:pt idx="90">
                  <c:v>6.9767441860465115E-2</c:v>
                </c:pt>
                <c:pt idx="91">
                  <c:v>0.27906976744186046</c:v>
                </c:pt>
                <c:pt idx="92">
                  <c:v>0.95348837209302328</c:v>
                </c:pt>
                <c:pt idx="93">
                  <c:v>4.6511627906976744E-2</c:v>
                </c:pt>
                <c:pt idx="94">
                  <c:v>0.72093023255813948</c:v>
                </c:pt>
                <c:pt idx="95">
                  <c:v>4.6511627906976744E-2</c:v>
                </c:pt>
                <c:pt idx="96">
                  <c:v>1</c:v>
                </c:pt>
                <c:pt idx="97">
                  <c:v>1</c:v>
                </c:pt>
                <c:pt idx="98">
                  <c:v>0.51162790697674421</c:v>
                </c:pt>
                <c:pt idx="99">
                  <c:v>0.7441860465116279</c:v>
                </c:pt>
                <c:pt idx="100">
                  <c:v>6.9767441860465115E-2</c:v>
                </c:pt>
                <c:pt idx="101">
                  <c:v>0.27906976744186046</c:v>
                </c:pt>
                <c:pt idx="102">
                  <c:v>0.95348837209302328</c:v>
                </c:pt>
                <c:pt idx="103">
                  <c:v>4.6511627906976744E-2</c:v>
                </c:pt>
                <c:pt idx="104">
                  <c:v>0.72093023255813948</c:v>
                </c:pt>
                <c:pt idx="105">
                  <c:v>4.6511627906976744E-2</c:v>
                </c:pt>
                <c:pt idx="106">
                  <c:v>1</c:v>
                </c:pt>
                <c:pt idx="107">
                  <c:v>1</c:v>
                </c:pt>
                <c:pt idx="108">
                  <c:v>0.51162790697674421</c:v>
                </c:pt>
                <c:pt idx="109">
                  <c:v>0.7441860465116279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BE-482B-8C6E-261080AC5470}"/>
            </c:ext>
          </c:extLst>
        </c:ser>
        <c:ser>
          <c:idx val="1"/>
          <c:order val="1"/>
          <c:tx>
            <c:v>Item B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val>
            <c:numRef>
              <c:f>'Normalised solutions'!$B$3:$DG$3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1.7857142857142856E-2</c:v>
                </c:pt>
                <c:pt idx="4">
                  <c:v>0.8928571428571429</c:v>
                </c:pt>
                <c:pt idx="5">
                  <c:v>0.29464285714285715</c:v>
                </c:pt>
                <c:pt idx="6">
                  <c:v>0.49107142857142855</c:v>
                </c:pt>
                <c:pt idx="7">
                  <c:v>0.4732142857142857</c:v>
                </c:pt>
                <c:pt idx="8">
                  <c:v>0.20535714285714285</c:v>
                </c:pt>
                <c:pt idx="9">
                  <c:v>0.10714285714285714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1.7857142857142856E-2</c:v>
                </c:pt>
                <c:pt idx="14">
                  <c:v>0.8928571428571429</c:v>
                </c:pt>
                <c:pt idx="15">
                  <c:v>0.29464285714285715</c:v>
                </c:pt>
                <c:pt idx="16">
                  <c:v>0.49107142857142855</c:v>
                </c:pt>
                <c:pt idx="17">
                  <c:v>0.4732142857142857</c:v>
                </c:pt>
                <c:pt idx="18">
                  <c:v>0.20535714285714285</c:v>
                </c:pt>
                <c:pt idx="19">
                  <c:v>0.10714285714285714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1.7857142857142856E-2</c:v>
                </c:pt>
                <c:pt idx="24">
                  <c:v>0.8928571428571429</c:v>
                </c:pt>
                <c:pt idx="25">
                  <c:v>0.29464285714285715</c:v>
                </c:pt>
                <c:pt idx="26">
                  <c:v>0.49107142857142855</c:v>
                </c:pt>
                <c:pt idx="27">
                  <c:v>0.4732142857142857</c:v>
                </c:pt>
                <c:pt idx="28">
                  <c:v>0.20535714285714285</c:v>
                </c:pt>
                <c:pt idx="29">
                  <c:v>0.10714285714285714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1.7857142857142856E-2</c:v>
                </c:pt>
                <c:pt idx="34">
                  <c:v>0.8928571428571429</c:v>
                </c:pt>
                <c:pt idx="35">
                  <c:v>0.29464285714285715</c:v>
                </c:pt>
                <c:pt idx="36">
                  <c:v>0.49107142857142855</c:v>
                </c:pt>
                <c:pt idx="37">
                  <c:v>0.4732142857142857</c:v>
                </c:pt>
                <c:pt idx="38">
                  <c:v>0.20535714285714285</c:v>
                </c:pt>
                <c:pt idx="39">
                  <c:v>0.10714285714285714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1.7857142857142856E-2</c:v>
                </c:pt>
                <c:pt idx="44">
                  <c:v>0.8928571428571429</c:v>
                </c:pt>
                <c:pt idx="45">
                  <c:v>0.29464285714285715</c:v>
                </c:pt>
                <c:pt idx="46">
                  <c:v>0.49107142857142855</c:v>
                </c:pt>
                <c:pt idx="47">
                  <c:v>0.4732142857142857</c:v>
                </c:pt>
                <c:pt idx="48">
                  <c:v>0.20535714285714285</c:v>
                </c:pt>
                <c:pt idx="49">
                  <c:v>0.10714285714285714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1.7857142857142856E-2</c:v>
                </c:pt>
                <c:pt idx="54">
                  <c:v>0.8928571428571429</c:v>
                </c:pt>
                <c:pt idx="55">
                  <c:v>0.29464285714285715</c:v>
                </c:pt>
                <c:pt idx="56">
                  <c:v>0.49107142857142855</c:v>
                </c:pt>
                <c:pt idx="57">
                  <c:v>0.4732142857142857</c:v>
                </c:pt>
                <c:pt idx="58">
                  <c:v>0.20535714285714285</c:v>
                </c:pt>
                <c:pt idx="59">
                  <c:v>0.10714285714285714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1.7857142857142856E-2</c:v>
                </c:pt>
                <c:pt idx="64">
                  <c:v>0.8928571428571429</c:v>
                </c:pt>
                <c:pt idx="65">
                  <c:v>0.29464285714285715</c:v>
                </c:pt>
                <c:pt idx="66">
                  <c:v>0.49107142857142855</c:v>
                </c:pt>
                <c:pt idx="67">
                  <c:v>0.4732142857142857</c:v>
                </c:pt>
                <c:pt idx="68">
                  <c:v>0.20535714285714285</c:v>
                </c:pt>
                <c:pt idx="69">
                  <c:v>0.10714285714285714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1.7857142857142856E-2</c:v>
                </c:pt>
                <c:pt idx="74">
                  <c:v>0.8928571428571429</c:v>
                </c:pt>
                <c:pt idx="75">
                  <c:v>0.29464285714285715</c:v>
                </c:pt>
                <c:pt idx="76">
                  <c:v>0.49107142857142855</c:v>
                </c:pt>
                <c:pt idx="77">
                  <c:v>0.4732142857142857</c:v>
                </c:pt>
                <c:pt idx="78">
                  <c:v>0.20535714285714285</c:v>
                </c:pt>
                <c:pt idx="79">
                  <c:v>0.10714285714285714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1.7857142857142856E-2</c:v>
                </c:pt>
                <c:pt idx="84">
                  <c:v>0.8928571428571429</c:v>
                </c:pt>
                <c:pt idx="85">
                  <c:v>0.29464285714285715</c:v>
                </c:pt>
                <c:pt idx="86">
                  <c:v>0.49107142857142855</c:v>
                </c:pt>
                <c:pt idx="87">
                  <c:v>0.4732142857142857</c:v>
                </c:pt>
                <c:pt idx="88">
                  <c:v>0.20535714285714285</c:v>
                </c:pt>
                <c:pt idx="89">
                  <c:v>0.10714285714285714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1.7857142857142856E-2</c:v>
                </c:pt>
                <c:pt idx="94">
                  <c:v>0.8928571428571429</c:v>
                </c:pt>
                <c:pt idx="95">
                  <c:v>0.29464285714285715</c:v>
                </c:pt>
                <c:pt idx="96">
                  <c:v>0.49107142857142855</c:v>
                </c:pt>
                <c:pt idx="97">
                  <c:v>0.4732142857142857</c:v>
                </c:pt>
                <c:pt idx="98">
                  <c:v>0.20535714285714285</c:v>
                </c:pt>
                <c:pt idx="99">
                  <c:v>0.10714285714285714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1.7857142857142856E-2</c:v>
                </c:pt>
                <c:pt idx="104">
                  <c:v>0.8928571428571429</c:v>
                </c:pt>
                <c:pt idx="105">
                  <c:v>0.29464285714285715</c:v>
                </c:pt>
                <c:pt idx="106">
                  <c:v>0.49107142857142855</c:v>
                </c:pt>
                <c:pt idx="107">
                  <c:v>0.4732142857142857</c:v>
                </c:pt>
                <c:pt idx="108">
                  <c:v>0.20535714285714285</c:v>
                </c:pt>
                <c:pt idx="109">
                  <c:v>0.10714285714285714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BE-482B-8C6E-261080AC5470}"/>
            </c:ext>
          </c:extLst>
        </c:ser>
        <c:ser>
          <c:idx val="2"/>
          <c:order val="2"/>
          <c:tx>
            <c:v>Item C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val>
            <c:numRef>
              <c:f>'Normalised solutions'!$B$4:$DG$4</c:f>
              <c:numCache>
                <c:formatCode>General</c:formatCode>
                <c:ptCount val="110"/>
                <c:pt idx="0">
                  <c:v>0.9423868312757202</c:v>
                </c:pt>
                <c:pt idx="1">
                  <c:v>0.96604938271604934</c:v>
                </c:pt>
                <c:pt idx="2">
                  <c:v>0.31378600823045266</c:v>
                </c:pt>
                <c:pt idx="3">
                  <c:v>0.97942386831275718</c:v>
                </c:pt>
                <c:pt idx="4">
                  <c:v>0.13168724279835392</c:v>
                </c:pt>
                <c:pt idx="5">
                  <c:v>8.3333333333333329E-2</c:v>
                </c:pt>
                <c:pt idx="6">
                  <c:v>0.93415637860082301</c:v>
                </c:pt>
                <c:pt idx="7">
                  <c:v>0.76543209876543206</c:v>
                </c:pt>
                <c:pt idx="8">
                  <c:v>0.34259259259259262</c:v>
                </c:pt>
                <c:pt idx="9">
                  <c:v>0.88683127572016462</c:v>
                </c:pt>
                <c:pt idx="10">
                  <c:v>0.62345679012345678</c:v>
                </c:pt>
                <c:pt idx="11">
                  <c:v>0.36213991769547327</c:v>
                </c:pt>
                <c:pt idx="12">
                  <c:v>0.23971193415637859</c:v>
                </c:pt>
                <c:pt idx="13">
                  <c:v>0.51646090534979427</c:v>
                </c:pt>
                <c:pt idx="14">
                  <c:v>0.71296296296296291</c:v>
                </c:pt>
                <c:pt idx="15">
                  <c:v>0.85185185185185186</c:v>
                </c:pt>
                <c:pt idx="16">
                  <c:v>0.19444444444444445</c:v>
                </c:pt>
                <c:pt idx="17">
                  <c:v>9.1563786008230452E-2</c:v>
                </c:pt>
                <c:pt idx="18">
                  <c:v>0.72530864197530864</c:v>
                </c:pt>
                <c:pt idx="19">
                  <c:v>0.5</c:v>
                </c:pt>
                <c:pt idx="20">
                  <c:v>0.14609053497942387</c:v>
                </c:pt>
                <c:pt idx="21">
                  <c:v>0.59156378600823045</c:v>
                </c:pt>
                <c:pt idx="22">
                  <c:v>1</c:v>
                </c:pt>
                <c:pt idx="23">
                  <c:v>0.22839506172839505</c:v>
                </c:pt>
                <c:pt idx="24">
                  <c:v>0.61008230452674894</c:v>
                </c:pt>
                <c:pt idx="25">
                  <c:v>0.26646090534979422</c:v>
                </c:pt>
                <c:pt idx="26">
                  <c:v>0.50617283950617287</c:v>
                </c:pt>
                <c:pt idx="27">
                  <c:v>0.23353909465020575</c:v>
                </c:pt>
                <c:pt idx="28">
                  <c:v>0.20061728395061729</c:v>
                </c:pt>
                <c:pt idx="29">
                  <c:v>0.38477366255144035</c:v>
                </c:pt>
                <c:pt idx="30">
                  <c:v>0.55452674897119336</c:v>
                </c:pt>
                <c:pt idx="31">
                  <c:v>2.05761316872428E-3</c:v>
                </c:pt>
                <c:pt idx="32">
                  <c:v>0.88991769547325106</c:v>
                </c:pt>
                <c:pt idx="33">
                  <c:v>0.3168724279835391</c:v>
                </c:pt>
                <c:pt idx="34">
                  <c:v>0.12139917695473251</c:v>
                </c:pt>
                <c:pt idx="35">
                  <c:v>0.12962962962962962</c:v>
                </c:pt>
                <c:pt idx="36">
                  <c:v>0.90637860082304522</c:v>
                </c:pt>
                <c:pt idx="37">
                  <c:v>0.12962962962962962</c:v>
                </c:pt>
                <c:pt idx="38">
                  <c:v>0.6635802469135802</c:v>
                </c:pt>
                <c:pt idx="39">
                  <c:v>0.89300411522633749</c:v>
                </c:pt>
                <c:pt idx="40">
                  <c:v>0.97016460905349799</c:v>
                </c:pt>
                <c:pt idx="41">
                  <c:v>0.49691358024691357</c:v>
                </c:pt>
                <c:pt idx="42">
                  <c:v>0.7211934156378601</c:v>
                </c:pt>
                <c:pt idx="43">
                  <c:v>0.19547325102880658</c:v>
                </c:pt>
                <c:pt idx="44">
                  <c:v>0.25823045267489714</c:v>
                </c:pt>
                <c:pt idx="45">
                  <c:v>0.89711934156378603</c:v>
                </c:pt>
                <c:pt idx="46">
                  <c:v>0.93106995884773658</c:v>
                </c:pt>
                <c:pt idx="47">
                  <c:v>0.65020576131687247</c:v>
                </c:pt>
                <c:pt idx="48">
                  <c:v>0.86625514403292181</c:v>
                </c:pt>
                <c:pt idx="49">
                  <c:v>4.3209876543209874E-2</c:v>
                </c:pt>
                <c:pt idx="50">
                  <c:v>0.53189300411522633</c:v>
                </c:pt>
                <c:pt idx="51">
                  <c:v>0.97736625514403297</c:v>
                </c:pt>
                <c:pt idx="52">
                  <c:v>0.91666666666666663</c:v>
                </c:pt>
                <c:pt idx="53">
                  <c:v>0.55144032921810704</c:v>
                </c:pt>
                <c:pt idx="54">
                  <c:v>0.47530864197530864</c:v>
                </c:pt>
                <c:pt idx="55">
                  <c:v>0.9423868312757202</c:v>
                </c:pt>
                <c:pt idx="56">
                  <c:v>0.96604938271604934</c:v>
                </c:pt>
                <c:pt idx="57">
                  <c:v>0.31378600823045266</c:v>
                </c:pt>
                <c:pt idx="58">
                  <c:v>0.97942386831275718</c:v>
                </c:pt>
                <c:pt idx="59">
                  <c:v>0.13168724279835392</c:v>
                </c:pt>
                <c:pt idx="60">
                  <c:v>8.3333333333333329E-2</c:v>
                </c:pt>
                <c:pt idx="61">
                  <c:v>0.93415637860082301</c:v>
                </c:pt>
                <c:pt idx="62">
                  <c:v>0.76543209876543206</c:v>
                </c:pt>
                <c:pt idx="63">
                  <c:v>0.34259259259259262</c:v>
                </c:pt>
                <c:pt idx="64">
                  <c:v>0.88683127572016462</c:v>
                </c:pt>
                <c:pt idx="65">
                  <c:v>0.62345679012345678</c:v>
                </c:pt>
                <c:pt idx="66">
                  <c:v>0.36213991769547327</c:v>
                </c:pt>
                <c:pt idx="67">
                  <c:v>0.23971193415637859</c:v>
                </c:pt>
                <c:pt idx="68">
                  <c:v>0.51646090534979427</c:v>
                </c:pt>
                <c:pt idx="69">
                  <c:v>0.71296296296296291</c:v>
                </c:pt>
                <c:pt idx="70">
                  <c:v>0.85185185185185186</c:v>
                </c:pt>
                <c:pt idx="71">
                  <c:v>0.19444444444444445</c:v>
                </c:pt>
                <c:pt idx="72">
                  <c:v>9.1563786008230452E-2</c:v>
                </c:pt>
                <c:pt idx="73">
                  <c:v>0.72530864197530864</c:v>
                </c:pt>
                <c:pt idx="74">
                  <c:v>0.5</c:v>
                </c:pt>
                <c:pt idx="75">
                  <c:v>0.14609053497942387</c:v>
                </c:pt>
                <c:pt idx="76">
                  <c:v>0.59156378600823045</c:v>
                </c:pt>
                <c:pt idx="77">
                  <c:v>1</c:v>
                </c:pt>
                <c:pt idx="78">
                  <c:v>0.22839506172839505</c:v>
                </c:pt>
                <c:pt idx="79">
                  <c:v>0.61008230452674894</c:v>
                </c:pt>
                <c:pt idx="80">
                  <c:v>0.26646090534979422</c:v>
                </c:pt>
                <c:pt idx="81">
                  <c:v>0.50617283950617287</c:v>
                </c:pt>
                <c:pt idx="82">
                  <c:v>0.23353909465020575</c:v>
                </c:pt>
                <c:pt idx="83">
                  <c:v>0.20061728395061729</c:v>
                </c:pt>
                <c:pt idx="84">
                  <c:v>0.38477366255144035</c:v>
                </c:pt>
                <c:pt idx="85">
                  <c:v>0.55452674897119336</c:v>
                </c:pt>
                <c:pt idx="86">
                  <c:v>2.05761316872428E-3</c:v>
                </c:pt>
                <c:pt idx="87">
                  <c:v>0.88991769547325106</c:v>
                </c:pt>
                <c:pt idx="88">
                  <c:v>0.3168724279835391</c:v>
                </c:pt>
                <c:pt idx="89">
                  <c:v>0.12139917695473251</c:v>
                </c:pt>
                <c:pt idx="90">
                  <c:v>0.12962962962962962</c:v>
                </c:pt>
                <c:pt idx="91">
                  <c:v>0.90637860082304522</c:v>
                </c:pt>
                <c:pt idx="92">
                  <c:v>0.12962962962962962</c:v>
                </c:pt>
                <c:pt idx="93">
                  <c:v>0.6635802469135802</c:v>
                </c:pt>
                <c:pt idx="94">
                  <c:v>0.89300411522633749</c:v>
                </c:pt>
                <c:pt idx="95">
                  <c:v>0.97016460905349799</c:v>
                </c:pt>
                <c:pt idx="96">
                  <c:v>0.49691358024691357</c:v>
                </c:pt>
                <c:pt idx="97">
                  <c:v>0.7211934156378601</c:v>
                </c:pt>
                <c:pt idx="98">
                  <c:v>0.19547325102880658</c:v>
                </c:pt>
                <c:pt idx="99">
                  <c:v>0.25823045267489714</c:v>
                </c:pt>
                <c:pt idx="100">
                  <c:v>0.89711934156378603</c:v>
                </c:pt>
                <c:pt idx="101">
                  <c:v>0.93106995884773658</c:v>
                </c:pt>
                <c:pt idx="102">
                  <c:v>0.65020576131687247</c:v>
                </c:pt>
                <c:pt idx="103">
                  <c:v>0.86625514403292181</c:v>
                </c:pt>
                <c:pt idx="104">
                  <c:v>4.3209876543209874E-2</c:v>
                </c:pt>
                <c:pt idx="105">
                  <c:v>0.53189300411522633</c:v>
                </c:pt>
                <c:pt idx="106">
                  <c:v>0.97736625514403297</c:v>
                </c:pt>
                <c:pt idx="107">
                  <c:v>0.91666666666666663</c:v>
                </c:pt>
                <c:pt idx="108">
                  <c:v>0.55144032921810704</c:v>
                </c:pt>
                <c:pt idx="109">
                  <c:v>0.47530864197530864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BE-482B-8C6E-261080AC5470}"/>
            </c:ext>
          </c:extLst>
        </c:ser>
        <c:ser>
          <c:idx val="3"/>
          <c:order val="3"/>
          <c:tx>
            <c:v>Item D</c:v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val>
            <c:numRef>
              <c:f>'Normalised solutions'!$B$5:$DG$5</c:f>
              <c:numCache>
                <c:formatCode>General</c:formatCode>
                <c:ptCount val="110"/>
                <c:pt idx="0">
                  <c:v>0.16108786610878661</c:v>
                </c:pt>
                <c:pt idx="1">
                  <c:v>0.67364016736401677</c:v>
                </c:pt>
                <c:pt idx="2">
                  <c:v>0.54393305439330542</c:v>
                </c:pt>
                <c:pt idx="3">
                  <c:v>0.4874476987447699</c:v>
                </c:pt>
                <c:pt idx="4">
                  <c:v>0.59414225941422594</c:v>
                </c:pt>
                <c:pt idx="5">
                  <c:v>0.83472803347280333</c:v>
                </c:pt>
                <c:pt idx="6">
                  <c:v>0.77405857740585771</c:v>
                </c:pt>
                <c:pt idx="7">
                  <c:v>0.43723849372384938</c:v>
                </c:pt>
                <c:pt idx="8">
                  <c:v>0.76987447698744771</c:v>
                </c:pt>
                <c:pt idx="9">
                  <c:v>0.502092050209205</c:v>
                </c:pt>
                <c:pt idx="10">
                  <c:v>0.73221757322175729</c:v>
                </c:pt>
                <c:pt idx="11">
                  <c:v>0.84100418410041844</c:v>
                </c:pt>
                <c:pt idx="12">
                  <c:v>0.71757322175732219</c:v>
                </c:pt>
                <c:pt idx="13">
                  <c:v>0.42677824267782427</c:v>
                </c:pt>
                <c:pt idx="14">
                  <c:v>0.62343096234309625</c:v>
                </c:pt>
                <c:pt idx="15">
                  <c:v>0.47280334728033474</c:v>
                </c:pt>
                <c:pt idx="16">
                  <c:v>0.49163179916317989</c:v>
                </c:pt>
                <c:pt idx="17">
                  <c:v>8.368200836820083E-3</c:v>
                </c:pt>
                <c:pt idx="18">
                  <c:v>1</c:v>
                </c:pt>
                <c:pt idx="19">
                  <c:v>0.36401673640167365</c:v>
                </c:pt>
                <c:pt idx="20">
                  <c:v>0.94351464435146448</c:v>
                </c:pt>
                <c:pt idx="21">
                  <c:v>0.61715481171548114</c:v>
                </c:pt>
                <c:pt idx="22">
                  <c:v>0.16108786610878661</c:v>
                </c:pt>
                <c:pt idx="23">
                  <c:v>0.67364016736401677</c:v>
                </c:pt>
                <c:pt idx="24">
                  <c:v>0.54393305439330542</c:v>
                </c:pt>
                <c:pt idx="25">
                  <c:v>0.4874476987447699</c:v>
                </c:pt>
                <c:pt idx="26">
                  <c:v>0.59414225941422594</c:v>
                </c:pt>
                <c:pt idx="27">
                  <c:v>0.83472803347280333</c:v>
                </c:pt>
                <c:pt idx="28">
                  <c:v>0.77405857740585771</c:v>
                </c:pt>
                <c:pt idx="29">
                  <c:v>0.43723849372384938</c:v>
                </c:pt>
                <c:pt idx="30">
                  <c:v>0.76987447698744771</c:v>
                </c:pt>
                <c:pt idx="31">
                  <c:v>0.502092050209205</c:v>
                </c:pt>
                <c:pt idx="32">
                  <c:v>0.73221757322175729</c:v>
                </c:pt>
                <c:pt idx="33">
                  <c:v>0.84100418410041844</c:v>
                </c:pt>
                <c:pt idx="34">
                  <c:v>0.71757322175732219</c:v>
                </c:pt>
                <c:pt idx="35">
                  <c:v>0.42677824267782427</c:v>
                </c:pt>
                <c:pt idx="36">
                  <c:v>0.62343096234309625</c:v>
                </c:pt>
                <c:pt idx="37">
                  <c:v>0.47280334728033474</c:v>
                </c:pt>
                <c:pt idx="38">
                  <c:v>0.49163179916317989</c:v>
                </c:pt>
                <c:pt idx="39">
                  <c:v>8.368200836820083E-3</c:v>
                </c:pt>
                <c:pt idx="40">
                  <c:v>1</c:v>
                </c:pt>
                <c:pt idx="41">
                  <c:v>0.36401673640167365</c:v>
                </c:pt>
                <c:pt idx="42">
                  <c:v>0.94351464435146448</c:v>
                </c:pt>
                <c:pt idx="43">
                  <c:v>0.61715481171548114</c:v>
                </c:pt>
                <c:pt idx="44">
                  <c:v>0.16108786610878661</c:v>
                </c:pt>
                <c:pt idx="45">
                  <c:v>0.67364016736401677</c:v>
                </c:pt>
                <c:pt idx="46">
                  <c:v>0.54393305439330542</c:v>
                </c:pt>
                <c:pt idx="47">
                  <c:v>0.4874476987447699</c:v>
                </c:pt>
                <c:pt idx="48">
                  <c:v>0.59414225941422594</c:v>
                </c:pt>
                <c:pt idx="49">
                  <c:v>0.83472803347280333</c:v>
                </c:pt>
                <c:pt idx="50">
                  <c:v>0.77405857740585771</c:v>
                </c:pt>
                <c:pt idx="51">
                  <c:v>0.43723849372384938</c:v>
                </c:pt>
                <c:pt idx="52">
                  <c:v>0.76987447698744771</c:v>
                </c:pt>
                <c:pt idx="53">
                  <c:v>0.502092050209205</c:v>
                </c:pt>
                <c:pt idx="54">
                  <c:v>0.73221757322175729</c:v>
                </c:pt>
                <c:pt idx="55">
                  <c:v>0.84100418410041844</c:v>
                </c:pt>
                <c:pt idx="56">
                  <c:v>0.71757322175732219</c:v>
                </c:pt>
                <c:pt idx="57">
                  <c:v>0.42677824267782427</c:v>
                </c:pt>
                <c:pt idx="58">
                  <c:v>0.62343096234309625</c:v>
                </c:pt>
                <c:pt idx="59">
                  <c:v>0.47280334728033474</c:v>
                </c:pt>
                <c:pt idx="60">
                  <c:v>0.49163179916317989</c:v>
                </c:pt>
                <c:pt idx="61">
                  <c:v>8.368200836820083E-3</c:v>
                </c:pt>
                <c:pt idx="62">
                  <c:v>1</c:v>
                </c:pt>
                <c:pt idx="63">
                  <c:v>0.36401673640167365</c:v>
                </c:pt>
                <c:pt idx="64">
                  <c:v>0.94351464435146448</c:v>
                </c:pt>
                <c:pt idx="65">
                  <c:v>0.61715481171548114</c:v>
                </c:pt>
                <c:pt idx="66">
                  <c:v>0.16108786610878661</c:v>
                </c:pt>
                <c:pt idx="67">
                  <c:v>0.67364016736401677</c:v>
                </c:pt>
                <c:pt idx="68">
                  <c:v>0.54393305439330542</c:v>
                </c:pt>
                <c:pt idx="69">
                  <c:v>0.4874476987447699</c:v>
                </c:pt>
                <c:pt idx="70">
                  <c:v>0.59414225941422594</c:v>
                </c:pt>
                <c:pt idx="71">
                  <c:v>0.83472803347280333</c:v>
                </c:pt>
                <c:pt idx="72">
                  <c:v>0.77405857740585771</c:v>
                </c:pt>
                <c:pt idx="73">
                  <c:v>0.43723849372384938</c:v>
                </c:pt>
                <c:pt idx="74">
                  <c:v>0.76987447698744771</c:v>
                </c:pt>
                <c:pt idx="75">
                  <c:v>0.502092050209205</c:v>
                </c:pt>
                <c:pt idx="76">
                  <c:v>0.73221757322175729</c:v>
                </c:pt>
                <c:pt idx="77">
                  <c:v>0.84100418410041844</c:v>
                </c:pt>
                <c:pt idx="78">
                  <c:v>0.71757322175732219</c:v>
                </c:pt>
                <c:pt idx="79">
                  <c:v>0.42677824267782427</c:v>
                </c:pt>
                <c:pt idx="80">
                  <c:v>0.62343096234309625</c:v>
                </c:pt>
                <c:pt idx="81">
                  <c:v>0.47280334728033474</c:v>
                </c:pt>
                <c:pt idx="82">
                  <c:v>0.49163179916317989</c:v>
                </c:pt>
                <c:pt idx="83">
                  <c:v>8.368200836820083E-3</c:v>
                </c:pt>
                <c:pt idx="84">
                  <c:v>1</c:v>
                </c:pt>
                <c:pt idx="85">
                  <c:v>0.36401673640167365</c:v>
                </c:pt>
                <c:pt idx="86">
                  <c:v>0.94351464435146448</c:v>
                </c:pt>
                <c:pt idx="87">
                  <c:v>0.61715481171548114</c:v>
                </c:pt>
                <c:pt idx="88">
                  <c:v>0.16108786610878661</c:v>
                </c:pt>
                <c:pt idx="89">
                  <c:v>0.67364016736401677</c:v>
                </c:pt>
                <c:pt idx="90">
                  <c:v>0.54393305439330542</c:v>
                </c:pt>
                <c:pt idx="91">
                  <c:v>0.4874476987447699</c:v>
                </c:pt>
                <c:pt idx="92">
                  <c:v>0.59414225941422594</c:v>
                </c:pt>
                <c:pt idx="93">
                  <c:v>0.83472803347280333</c:v>
                </c:pt>
                <c:pt idx="94">
                  <c:v>0.77405857740585771</c:v>
                </c:pt>
                <c:pt idx="95">
                  <c:v>0.43723849372384938</c:v>
                </c:pt>
                <c:pt idx="96">
                  <c:v>0.76987447698744771</c:v>
                </c:pt>
                <c:pt idx="97">
                  <c:v>0.502092050209205</c:v>
                </c:pt>
                <c:pt idx="98">
                  <c:v>0.73221757322175729</c:v>
                </c:pt>
                <c:pt idx="99">
                  <c:v>0.84100418410041844</c:v>
                </c:pt>
                <c:pt idx="100">
                  <c:v>0.71757322175732219</c:v>
                </c:pt>
                <c:pt idx="101">
                  <c:v>0.42677824267782427</c:v>
                </c:pt>
                <c:pt idx="102">
                  <c:v>0.62343096234309625</c:v>
                </c:pt>
                <c:pt idx="103">
                  <c:v>0.47280334728033474</c:v>
                </c:pt>
                <c:pt idx="104">
                  <c:v>0.49163179916317989</c:v>
                </c:pt>
                <c:pt idx="105">
                  <c:v>8.368200836820083E-3</c:v>
                </c:pt>
                <c:pt idx="106">
                  <c:v>1</c:v>
                </c:pt>
                <c:pt idx="107">
                  <c:v>0.36401673640167365</c:v>
                </c:pt>
                <c:pt idx="108">
                  <c:v>0.94351464435146448</c:v>
                </c:pt>
                <c:pt idx="109">
                  <c:v>0.61715481171548114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BE-482B-8C6E-261080AC5470}"/>
            </c:ext>
          </c:extLst>
        </c:ser>
        <c:ser>
          <c:idx val="4"/>
          <c:order val="4"/>
          <c:tx>
            <c:v>Item E</c:v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val>
            <c:numRef>
              <c:f>'Normalised solutions'!$B$6:$DG$6</c:f>
              <c:numCache>
                <c:formatCode>General</c:formatCode>
                <c:ptCount val="110"/>
                <c:pt idx="0">
                  <c:v>0.78607467204843595</c:v>
                </c:pt>
                <c:pt idx="1">
                  <c:v>0.53683148335015141</c:v>
                </c:pt>
                <c:pt idx="2">
                  <c:v>8.6781029263370335E-2</c:v>
                </c:pt>
                <c:pt idx="3">
                  <c:v>0.29263370332996974</c:v>
                </c:pt>
                <c:pt idx="4">
                  <c:v>0.53884964682139258</c:v>
                </c:pt>
                <c:pt idx="5">
                  <c:v>0.50958627648839561</c:v>
                </c:pt>
                <c:pt idx="6">
                  <c:v>0.25126135216952572</c:v>
                </c:pt>
                <c:pt idx="7">
                  <c:v>0.50756811301715443</c:v>
                </c:pt>
                <c:pt idx="8">
                  <c:v>1</c:v>
                </c:pt>
                <c:pt idx="9">
                  <c:v>0.71140262361251261</c:v>
                </c:pt>
                <c:pt idx="10">
                  <c:v>0.36024217961654892</c:v>
                </c:pt>
                <c:pt idx="11">
                  <c:v>0.11301715438950555</c:v>
                </c:pt>
                <c:pt idx="12">
                  <c:v>0.93541876892028253</c:v>
                </c:pt>
                <c:pt idx="13">
                  <c:v>0.58728557013118066</c:v>
                </c:pt>
                <c:pt idx="14">
                  <c:v>0.75277497477295663</c:v>
                </c:pt>
                <c:pt idx="15">
                  <c:v>0.68314833501513628</c:v>
                </c:pt>
                <c:pt idx="16">
                  <c:v>0.40867810292633705</c:v>
                </c:pt>
                <c:pt idx="17">
                  <c:v>0.76488395560040368</c:v>
                </c:pt>
                <c:pt idx="18">
                  <c:v>0.41574167507568111</c:v>
                </c:pt>
                <c:pt idx="19">
                  <c:v>0.89808274470232086</c:v>
                </c:pt>
                <c:pt idx="20">
                  <c:v>0.95257315842583246</c:v>
                </c:pt>
                <c:pt idx="21">
                  <c:v>0.8254288597376388</c:v>
                </c:pt>
                <c:pt idx="22">
                  <c:v>0.2956609485368315</c:v>
                </c:pt>
                <c:pt idx="23">
                  <c:v>0.58022199798183649</c:v>
                </c:pt>
                <c:pt idx="24">
                  <c:v>1.0090817356205853E-2</c:v>
                </c:pt>
                <c:pt idx="25">
                  <c:v>0.29667003027245209</c:v>
                </c:pt>
                <c:pt idx="26">
                  <c:v>0.59838546922300706</c:v>
                </c:pt>
                <c:pt idx="27">
                  <c:v>0.38345105953582242</c:v>
                </c:pt>
                <c:pt idx="28">
                  <c:v>0.13420787083753785</c:v>
                </c:pt>
                <c:pt idx="29">
                  <c:v>0.89404641775983851</c:v>
                </c:pt>
                <c:pt idx="30">
                  <c:v>0.9646821392532795</c:v>
                </c:pt>
                <c:pt idx="31">
                  <c:v>0.89404641775983851</c:v>
                </c:pt>
                <c:pt idx="32">
                  <c:v>0.51059535822401614</c:v>
                </c:pt>
                <c:pt idx="33">
                  <c:v>0.58627648839556001</c:v>
                </c:pt>
                <c:pt idx="34">
                  <c:v>0.56306760847628656</c:v>
                </c:pt>
                <c:pt idx="35">
                  <c:v>0.88698284561049445</c:v>
                </c:pt>
                <c:pt idx="36">
                  <c:v>0.32492431886982848</c:v>
                </c:pt>
                <c:pt idx="37">
                  <c:v>0.6185671039354188</c:v>
                </c:pt>
                <c:pt idx="38">
                  <c:v>0.6185671039354188</c:v>
                </c:pt>
                <c:pt idx="39">
                  <c:v>0.89606458123107968</c:v>
                </c:pt>
                <c:pt idx="40">
                  <c:v>0.59737638748738653</c:v>
                </c:pt>
                <c:pt idx="41">
                  <c:v>0.19374369323915236</c:v>
                </c:pt>
                <c:pt idx="42">
                  <c:v>0.25126135216952572</c:v>
                </c:pt>
                <c:pt idx="43">
                  <c:v>0.2956609485368315</c:v>
                </c:pt>
                <c:pt idx="44">
                  <c:v>0.28557013118062563</c:v>
                </c:pt>
                <c:pt idx="45">
                  <c:v>0.1574167507568113</c:v>
                </c:pt>
                <c:pt idx="46">
                  <c:v>0.33905146316851664</c:v>
                </c:pt>
                <c:pt idx="47">
                  <c:v>0.19374369323915236</c:v>
                </c:pt>
                <c:pt idx="48">
                  <c:v>0.22805247225025227</c:v>
                </c:pt>
                <c:pt idx="49">
                  <c:v>0.63975782038345108</c:v>
                </c:pt>
                <c:pt idx="50">
                  <c:v>0.71947527749747731</c:v>
                </c:pt>
                <c:pt idx="51">
                  <c:v>0.96972754793138249</c:v>
                </c:pt>
                <c:pt idx="52">
                  <c:v>4.1372351160443993E-2</c:v>
                </c:pt>
                <c:pt idx="53">
                  <c:v>0.99697275479313829</c:v>
                </c:pt>
                <c:pt idx="54">
                  <c:v>0.63370332996972756</c:v>
                </c:pt>
                <c:pt idx="55">
                  <c:v>0.28859737638748739</c:v>
                </c:pt>
                <c:pt idx="56">
                  <c:v>9.081735620585267E-2</c:v>
                </c:pt>
                <c:pt idx="57">
                  <c:v>0.35317860746720486</c:v>
                </c:pt>
                <c:pt idx="58">
                  <c:v>0.3148335015136226</c:v>
                </c:pt>
                <c:pt idx="59">
                  <c:v>0.12815338042381433</c:v>
                </c:pt>
                <c:pt idx="60">
                  <c:v>0.86982845610494453</c:v>
                </c:pt>
                <c:pt idx="61">
                  <c:v>0.43693239152371344</c:v>
                </c:pt>
                <c:pt idx="62">
                  <c:v>0.31382441977800202</c:v>
                </c:pt>
                <c:pt idx="63">
                  <c:v>0.80221997981836524</c:v>
                </c:pt>
                <c:pt idx="64">
                  <c:v>9.4853683148335019E-2</c:v>
                </c:pt>
                <c:pt idx="65">
                  <c:v>0.25126135216952572</c:v>
                </c:pt>
                <c:pt idx="66">
                  <c:v>0.2956609485368315</c:v>
                </c:pt>
                <c:pt idx="67">
                  <c:v>0.83249243188698285</c:v>
                </c:pt>
                <c:pt idx="68">
                  <c:v>0.99495459132189712</c:v>
                </c:pt>
                <c:pt idx="69">
                  <c:v>0.36326942482341068</c:v>
                </c:pt>
                <c:pt idx="70">
                  <c:v>0.59535822401614535</c:v>
                </c:pt>
                <c:pt idx="71">
                  <c:v>0.43895055499495461</c:v>
                </c:pt>
                <c:pt idx="72">
                  <c:v>0.71947527749747731</c:v>
                </c:pt>
                <c:pt idx="73">
                  <c:v>4.0363269424823413E-2</c:v>
                </c:pt>
                <c:pt idx="74">
                  <c:v>0.88900100908173563</c:v>
                </c:pt>
                <c:pt idx="75">
                  <c:v>0.95055499495459128</c:v>
                </c:pt>
                <c:pt idx="76">
                  <c:v>0.9182643794147326</c:v>
                </c:pt>
                <c:pt idx="77">
                  <c:v>0.66902119071644806</c:v>
                </c:pt>
                <c:pt idx="78">
                  <c:v>0.82240161453077698</c:v>
                </c:pt>
                <c:pt idx="79">
                  <c:v>0.52774974772956607</c:v>
                </c:pt>
                <c:pt idx="80">
                  <c:v>0.90918264379414737</c:v>
                </c:pt>
                <c:pt idx="81">
                  <c:v>0.50454086781029261</c:v>
                </c:pt>
                <c:pt idx="82">
                  <c:v>0.64278506559031279</c:v>
                </c:pt>
                <c:pt idx="83">
                  <c:v>0.9808274470232089</c:v>
                </c:pt>
                <c:pt idx="84">
                  <c:v>0.29667003027245209</c:v>
                </c:pt>
                <c:pt idx="85">
                  <c:v>0.82240161453077698</c:v>
                </c:pt>
                <c:pt idx="86">
                  <c:v>0.86781029263370335</c:v>
                </c:pt>
                <c:pt idx="87">
                  <c:v>0.74268415741675076</c:v>
                </c:pt>
                <c:pt idx="88">
                  <c:v>0.9374369323915237</c:v>
                </c:pt>
                <c:pt idx="89">
                  <c:v>0.65590312815338048</c:v>
                </c:pt>
                <c:pt idx="90">
                  <c:v>0.39959636730575177</c:v>
                </c:pt>
                <c:pt idx="91">
                  <c:v>0.54591321897073664</c:v>
                </c:pt>
                <c:pt idx="92">
                  <c:v>0.47527749747729564</c:v>
                </c:pt>
                <c:pt idx="93">
                  <c:v>0.37336024217961655</c:v>
                </c:pt>
                <c:pt idx="94">
                  <c:v>0.73360242179616553</c:v>
                </c:pt>
                <c:pt idx="95">
                  <c:v>0.64480322906155396</c:v>
                </c:pt>
                <c:pt idx="96">
                  <c:v>0.63168516649848638</c:v>
                </c:pt>
                <c:pt idx="97">
                  <c:v>0.96367305751765897</c:v>
                </c:pt>
                <c:pt idx="98">
                  <c:v>3.1281533804238142E-2</c:v>
                </c:pt>
                <c:pt idx="99">
                  <c:v>0.25227043390514631</c:v>
                </c:pt>
                <c:pt idx="100">
                  <c:v>0.91927346115035313</c:v>
                </c:pt>
                <c:pt idx="101">
                  <c:v>0.69424823410696268</c:v>
                </c:pt>
                <c:pt idx="102">
                  <c:v>0.68314833501513628</c:v>
                </c:pt>
                <c:pt idx="103">
                  <c:v>0.79515640766902118</c:v>
                </c:pt>
                <c:pt idx="104">
                  <c:v>0.65590312815338048</c:v>
                </c:pt>
                <c:pt idx="105">
                  <c:v>0.74066599394550958</c:v>
                </c:pt>
                <c:pt idx="106">
                  <c:v>0.54793138244197781</c:v>
                </c:pt>
                <c:pt idx="107">
                  <c:v>0.34006054490413723</c:v>
                </c:pt>
                <c:pt idx="108">
                  <c:v>0.51866801210898084</c:v>
                </c:pt>
                <c:pt idx="109">
                  <c:v>0.12714429868819374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BE-482B-8C6E-261080AC5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9911407"/>
        <c:axId val="1189909487"/>
      </c:lineChart>
      <c:catAx>
        <c:axId val="118991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89909487"/>
        <c:crosses val="autoZero"/>
        <c:auto val="1"/>
        <c:lblAlgn val="ctr"/>
        <c:lblOffset val="100"/>
        <c:noMultiLvlLbl val="0"/>
      </c:catAx>
      <c:valAx>
        <c:axId val="118990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8991140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2416144445421455"/>
          <c:y val="0.35322456289085341"/>
          <c:w val="7.194481409438748E-2"/>
          <c:h val="0.30861832001682687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2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371223</xdr:colOff>
      <xdr:row>81</xdr:row>
      <xdr:rowOff>95075</xdr:rowOff>
    </xdr:from>
    <xdr:to>
      <xdr:col>29</xdr:col>
      <xdr:colOff>341269</xdr:colOff>
      <xdr:row>112</xdr:row>
      <xdr:rowOff>89646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495300</xdr:colOff>
      <xdr:row>2</xdr:row>
      <xdr:rowOff>119062</xdr:rowOff>
    </xdr:from>
    <xdr:to>
      <xdr:col>21</xdr:col>
      <xdr:colOff>190500</xdr:colOff>
      <xdr:row>17</xdr:row>
      <xdr:rowOff>4762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51C1F43-94FE-185C-4E84-8E4F9B2730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20</xdr:row>
      <xdr:rowOff>9525</xdr:rowOff>
    </xdr:from>
    <xdr:to>
      <xdr:col>21</xdr:col>
      <xdr:colOff>266700</xdr:colOff>
      <xdr:row>34</xdr:row>
      <xdr:rowOff>85725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9ABDBDAB-49CD-4EAE-86A7-D66A4E18A0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312502</xdr:colOff>
      <xdr:row>14</xdr:row>
      <xdr:rowOff>104681</xdr:rowOff>
    </xdr:from>
    <xdr:to>
      <xdr:col>34</xdr:col>
      <xdr:colOff>92048</xdr:colOff>
      <xdr:row>45</xdr:row>
      <xdr:rowOff>99252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75"/>
  <sheetViews>
    <sheetView tabSelected="1" topLeftCell="A49" zoomScale="85" zoomScaleNormal="85" workbookViewId="0">
      <selection activeCell="EJ10" sqref="EJ10:EJ75"/>
    </sheetView>
  </sheetViews>
  <sheetFormatPr defaultRowHeight="14.5" x14ac:dyDescent="0.35"/>
  <cols>
    <col min="1" max="1" width="13.81640625" bestFit="1" customWidth="1"/>
    <col min="102" max="102" width="9.1796875" style="2"/>
  </cols>
  <sheetData>
    <row r="1" spans="1:1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s="2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</row>
    <row r="2" spans="1:140" x14ac:dyDescent="0.35">
      <c r="A2" t="s">
        <v>111</v>
      </c>
      <c r="B2">
        <v>3</v>
      </c>
      <c r="C2">
        <v>12</v>
      </c>
      <c r="D2">
        <v>41</v>
      </c>
      <c r="E2">
        <v>2</v>
      </c>
      <c r="F2">
        <v>31</v>
      </c>
      <c r="G2">
        <v>2</v>
      </c>
      <c r="H2">
        <v>43</v>
      </c>
      <c r="I2">
        <v>43</v>
      </c>
      <c r="J2">
        <v>22</v>
      </c>
      <c r="K2">
        <v>32</v>
      </c>
      <c r="L2">
        <v>3</v>
      </c>
      <c r="M2">
        <v>12</v>
      </c>
      <c r="N2">
        <v>41</v>
      </c>
      <c r="O2">
        <v>2</v>
      </c>
      <c r="P2">
        <v>31</v>
      </c>
      <c r="Q2">
        <v>2</v>
      </c>
      <c r="R2">
        <v>43</v>
      </c>
      <c r="S2">
        <v>43</v>
      </c>
      <c r="T2">
        <v>22</v>
      </c>
      <c r="U2">
        <v>32</v>
      </c>
      <c r="V2">
        <v>3</v>
      </c>
      <c r="W2">
        <v>12</v>
      </c>
      <c r="X2">
        <v>41</v>
      </c>
      <c r="Y2">
        <v>2</v>
      </c>
      <c r="Z2">
        <v>31</v>
      </c>
      <c r="AA2">
        <v>2</v>
      </c>
      <c r="AB2">
        <v>43</v>
      </c>
      <c r="AC2">
        <v>43</v>
      </c>
      <c r="AD2">
        <v>22</v>
      </c>
      <c r="AE2">
        <v>32</v>
      </c>
      <c r="AF2">
        <v>3</v>
      </c>
      <c r="AG2">
        <v>12</v>
      </c>
      <c r="AH2">
        <v>41</v>
      </c>
      <c r="AI2">
        <v>2</v>
      </c>
      <c r="AJ2">
        <v>31</v>
      </c>
      <c r="AK2">
        <v>2</v>
      </c>
      <c r="AL2">
        <v>43</v>
      </c>
      <c r="AM2">
        <v>43</v>
      </c>
      <c r="AN2">
        <v>22</v>
      </c>
      <c r="AO2">
        <v>32</v>
      </c>
      <c r="AP2">
        <v>3</v>
      </c>
      <c r="AQ2">
        <v>12</v>
      </c>
      <c r="AR2">
        <v>41</v>
      </c>
      <c r="AS2">
        <v>2</v>
      </c>
      <c r="AT2">
        <v>31</v>
      </c>
      <c r="AU2">
        <v>2</v>
      </c>
      <c r="AV2">
        <v>43</v>
      </c>
      <c r="AW2">
        <v>43</v>
      </c>
      <c r="AX2">
        <v>22</v>
      </c>
      <c r="AY2">
        <v>32</v>
      </c>
      <c r="AZ2">
        <v>3</v>
      </c>
      <c r="BA2">
        <v>12</v>
      </c>
      <c r="BB2">
        <v>41</v>
      </c>
      <c r="BC2">
        <v>2</v>
      </c>
      <c r="BD2">
        <v>31</v>
      </c>
      <c r="BE2">
        <v>2</v>
      </c>
      <c r="BF2">
        <v>43</v>
      </c>
      <c r="BG2">
        <v>43</v>
      </c>
      <c r="BH2">
        <v>22</v>
      </c>
      <c r="BI2">
        <v>32</v>
      </c>
      <c r="BJ2">
        <v>3</v>
      </c>
      <c r="BK2">
        <v>12</v>
      </c>
      <c r="BL2">
        <v>41</v>
      </c>
      <c r="BM2">
        <v>2</v>
      </c>
      <c r="BN2">
        <v>31</v>
      </c>
      <c r="BO2">
        <v>2</v>
      </c>
      <c r="BP2">
        <v>43</v>
      </c>
      <c r="BQ2">
        <v>43</v>
      </c>
      <c r="BR2">
        <v>22</v>
      </c>
      <c r="BS2">
        <v>32</v>
      </c>
      <c r="BT2">
        <v>3</v>
      </c>
      <c r="BU2">
        <v>12</v>
      </c>
      <c r="BV2">
        <v>41</v>
      </c>
      <c r="BW2">
        <v>2</v>
      </c>
      <c r="BX2">
        <v>31</v>
      </c>
      <c r="BY2">
        <v>2</v>
      </c>
      <c r="BZ2">
        <v>43</v>
      </c>
      <c r="CA2">
        <v>43</v>
      </c>
      <c r="CB2">
        <v>22</v>
      </c>
      <c r="CC2">
        <v>32</v>
      </c>
      <c r="CD2">
        <v>3</v>
      </c>
      <c r="CE2">
        <v>12</v>
      </c>
      <c r="CF2">
        <v>41</v>
      </c>
      <c r="CG2">
        <v>2</v>
      </c>
      <c r="CH2">
        <v>31</v>
      </c>
      <c r="CI2">
        <v>2</v>
      </c>
      <c r="CJ2">
        <v>43</v>
      </c>
      <c r="CK2">
        <v>43</v>
      </c>
      <c r="CL2">
        <v>22</v>
      </c>
      <c r="CM2">
        <v>32</v>
      </c>
      <c r="CN2">
        <v>3</v>
      </c>
      <c r="CO2">
        <v>12</v>
      </c>
      <c r="CP2">
        <v>41</v>
      </c>
      <c r="CQ2">
        <v>2</v>
      </c>
      <c r="CR2">
        <v>31</v>
      </c>
      <c r="CS2">
        <v>2</v>
      </c>
      <c r="CT2">
        <v>43</v>
      </c>
      <c r="CU2">
        <v>43</v>
      </c>
      <c r="CV2">
        <v>22</v>
      </c>
      <c r="CW2">
        <v>32</v>
      </c>
      <c r="CX2" s="2">
        <v>3</v>
      </c>
      <c r="CY2">
        <v>12</v>
      </c>
      <c r="CZ2">
        <v>41</v>
      </c>
      <c r="DA2">
        <v>2</v>
      </c>
      <c r="DB2">
        <v>31</v>
      </c>
      <c r="DC2">
        <v>2</v>
      </c>
      <c r="DD2">
        <v>43</v>
      </c>
      <c r="DE2">
        <v>43</v>
      </c>
      <c r="DF2">
        <v>22</v>
      </c>
      <c r="DG2">
        <v>32</v>
      </c>
    </row>
    <row r="3" spans="1:140" x14ac:dyDescent="0.35">
      <c r="A3" t="s">
        <v>112</v>
      </c>
      <c r="B3">
        <v>0</v>
      </c>
      <c r="C3">
        <v>0</v>
      </c>
      <c r="D3">
        <v>112</v>
      </c>
      <c r="E3">
        <v>2</v>
      </c>
      <c r="F3">
        <v>100</v>
      </c>
      <c r="G3">
        <v>33</v>
      </c>
      <c r="H3">
        <v>55</v>
      </c>
      <c r="I3">
        <v>53</v>
      </c>
      <c r="J3">
        <v>23</v>
      </c>
      <c r="K3">
        <v>12</v>
      </c>
      <c r="L3">
        <v>0</v>
      </c>
      <c r="M3">
        <v>0</v>
      </c>
      <c r="N3">
        <v>112</v>
      </c>
      <c r="O3">
        <v>2</v>
      </c>
      <c r="P3">
        <v>100</v>
      </c>
      <c r="Q3">
        <v>33</v>
      </c>
      <c r="R3">
        <v>55</v>
      </c>
      <c r="S3">
        <v>53</v>
      </c>
      <c r="T3">
        <v>23</v>
      </c>
      <c r="U3">
        <v>12</v>
      </c>
      <c r="V3">
        <v>0</v>
      </c>
      <c r="W3">
        <v>0</v>
      </c>
      <c r="X3">
        <v>112</v>
      </c>
      <c r="Y3">
        <v>2</v>
      </c>
      <c r="Z3">
        <v>100</v>
      </c>
      <c r="AA3">
        <v>33</v>
      </c>
      <c r="AB3">
        <v>55</v>
      </c>
      <c r="AC3">
        <v>53</v>
      </c>
      <c r="AD3">
        <v>23</v>
      </c>
      <c r="AE3">
        <v>12</v>
      </c>
      <c r="AF3">
        <v>0</v>
      </c>
      <c r="AG3">
        <v>0</v>
      </c>
      <c r="AH3">
        <v>112</v>
      </c>
      <c r="AI3">
        <v>2</v>
      </c>
      <c r="AJ3">
        <v>100</v>
      </c>
      <c r="AK3">
        <v>33</v>
      </c>
      <c r="AL3">
        <v>55</v>
      </c>
      <c r="AM3">
        <v>53</v>
      </c>
      <c r="AN3">
        <v>23</v>
      </c>
      <c r="AO3">
        <v>12</v>
      </c>
      <c r="AP3">
        <v>0</v>
      </c>
      <c r="AQ3">
        <v>0</v>
      </c>
      <c r="AR3">
        <v>112</v>
      </c>
      <c r="AS3">
        <v>2</v>
      </c>
      <c r="AT3">
        <v>100</v>
      </c>
      <c r="AU3">
        <v>33</v>
      </c>
      <c r="AV3">
        <v>55</v>
      </c>
      <c r="AW3">
        <v>53</v>
      </c>
      <c r="AX3">
        <v>23</v>
      </c>
      <c r="AY3">
        <v>12</v>
      </c>
      <c r="AZ3">
        <v>0</v>
      </c>
      <c r="BA3">
        <v>0</v>
      </c>
      <c r="BB3">
        <v>112</v>
      </c>
      <c r="BC3">
        <v>2</v>
      </c>
      <c r="BD3">
        <v>100</v>
      </c>
      <c r="BE3">
        <v>33</v>
      </c>
      <c r="BF3">
        <v>55</v>
      </c>
      <c r="BG3">
        <v>53</v>
      </c>
      <c r="BH3">
        <v>23</v>
      </c>
      <c r="BI3">
        <v>12</v>
      </c>
      <c r="BJ3">
        <v>0</v>
      </c>
      <c r="BK3">
        <v>0</v>
      </c>
      <c r="BL3">
        <v>112</v>
      </c>
      <c r="BM3">
        <v>2</v>
      </c>
      <c r="BN3">
        <v>100</v>
      </c>
      <c r="BO3">
        <v>33</v>
      </c>
      <c r="BP3">
        <v>55</v>
      </c>
      <c r="BQ3">
        <v>53</v>
      </c>
      <c r="BR3">
        <v>23</v>
      </c>
      <c r="BS3">
        <v>12</v>
      </c>
      <c r="BT3">
        <v>0</v>
      </c>
      <c r="BU3">
        <v>0</v>
      </c>
      <c r="BV3">
        <v>112</v>
      </c>
      <c r="BW3">
        <v>2</v>
      </c>
      <c r="BX3">
        <v>100</v>
      </c>
      <c r="BY3">
        <v>33</v>
      </c>
      <c r="BZ3">
        <v>55</v>
      </c>
      <c r="CA3">
        <v>53</v>
      </c>
      <c r="CB3">
        <v>23</v>
      </c>
      <c r="CC3">
        <v>12</v>
      </c>
      <c r="CD3">
        <v>0</v>
      </c>
      <c r="CE3">
        <v>0</v>
      </c>
      <c r="CF3">
        <v>112</v>
      </c>
      <c r="CG3">
        <v>2</v>
      </c>
      <c r="CH3">
        <v>100</v>
      </c>
      <c r="CI3">
        <v>33</v>
      </c>
      <c r="CJ3">
        <v>55</v>
      </c>
      <c r="CK3">
        <v>53</v>
      </c>
      <c r="CL3">
        <v>23</v>
      </c>
      <c r="CM3">
        <v>12</v>
      </c>
      <c r="CN3">
        <v>0</v>
      </c>
      <c r="CO3">
        <v>0</v>
      </c>
      <c r="CP3">
        <v>112</v>
      </c>
      <c r="CQ3">
        <v>2</v>
      </c>
      <c r="CR3">
        <v>100</v>
      </c>
      <c r="CS3">
        <v>33</v>
      </c>
      <c r="CT3">
        <v>55</v>
      </c>
      <c r="CU3">
        <v>53</v>
      </c>
      <c r="CV3">
        <v>23</v>
      </c>
      <c r="CW3">
        <v>12</v>
      </c>
      <c r="CX3" s="2">
        <v>0</v>
      </c>
      <c r="CY3">
        <v>0</v>
      </c>
      <c r="CZ3">
        <v>112</v>
      </c>
      <c r="DA3">
        <v>2</v>
      </c>
      <c r="DB3">
        <v>100</v>
      </c>
      <c r="DC3">
        <v>33</v>
      </c>
      <c r="DD3">
        <v>55</v>
      </c>
      <c r="DE3">
        <v>53</v>
      </c>
      <c r="DF3">
        <v>23</v>
      </c>
      <c r="DG3">
        <v>12</v>
      </c>
    </row>
    <row r="4" spans="1:140" x14ac:dyDescent="0.35">
      <c r="A4" t="s">
        <v>113</v>
      </c>
      <c r="B4">
        <v>916</v>
      </c>
      <c r="C4">
        <v>939</v>
      </c>
      <c r="D4">
        <v>305</v>
      </c>
      <c r="E4">
        <v>952</v>
      </c>
      <c r="F4">
        <v>128</v>
      </c>
      <c r="G4">
        <v>81</v>
      </c>
      <c r="H4">
        <v>908</v>
      </c>
      <c r="I4">
        <v>744</v>
      </c>
      <c r="J4">
        <v>333</v>
      </c>
      <c r="K4">
        <v>862</v>
      </c>
      <c r="L4">
        <v>606</v>
      </c>
      <c r="M4">
        <v>352</v>
      </c>
      <c r="N4">
        <v>233</v>
      </c>
      <c r="O4">
        <v>502</v>
      </c>
      <c r="P4">
        <v>693</v>
      </c>
      <c r="Q4">
        <v>828</v>
      </c>
      <c r="R4">
        <v>189</v>
      </c>
      <c r="S4">
        <v>89</v>
      </c>
      <c r="T4">
        <v>705</v>
      </c>
      <c r="U4">
        <v>486</v>
      </c>
      <c r="V4">
        <v>142</v>
      </c>
      <c r="W4">
        <v>575</v>
      </c>
      <c r="X4">
        <v>972</v>
      </c>
      <c r="Y4">
        <v>222</v>
      </c>
      <c r="Z4">
        <v>593</v>
      </c>
      <c r="AA4">
        <v>259</v>
      </c>
      <c r="AB4">
        <v>492</v>
      </c>
      <c r="AC4">
        <v>227</v>
      </c>
      <c r="AD4">
        <v>195</v>
      </c>
      <c r="AE4">
        <v>374</v>
      </c>
      <c r="AF4">
        <v>539</v>
      </c>
      <c r="AG4">
        <v>2</v>
      </c>
      <c r="AH4">
        <v>865</v>
      </c>
      <c r="AI4">
        <v>308</v>
      </c>
      <c r="AJ4">
        <v>118</v>
      </c>
      <c r="AK4">
        <v>126</v>
      </c>
      <c r="AL4">
        <v>881</v>
      </c>
      <c r="AM4">
        <v>126</v>
      </c>
      <c r="AN4">
        <v>645</v>
      </c>
      <c r="AO4">
        <v>868</v>
      </c>
      <c r="AP4">
        <v>943</v>
      </c>
      <c r="AQ4">
        <v>483</v>
      </c>
      <c r="AR4">
        <v>701</v>
      </c>
      <c r="AS4">
        <v>190</v>
      </c>
      <c r="AT4">
        <v>251</v>
      </c>
      <c r="AU4">
        <v>872</v>
      </c>
      <c r="AV4">
        <v>905</v>
      </c>
      <c r="AW4">
        <v>632</v>
      </c>
      <c r="AX4">
        <v>842</v>
      </c>
      <c r="AY4">
        <v>42</v>
      </c>
      <c r="AZ4">
        <v>517</v>
      </c>
      <c r="BA4">
        <v>950</v>
      </c>
      <c r="BB4">
        <v>891</v>
      </c>
      <c r="BC4">
        <v>536</v>
      </c>
      <c r="BD4">
        <v>462</v>
      </c>
      <c r="BE4">
        <v>916</v>
      </c>
      <c r="BF4">
        <v>939</v>
      </c>
      <c r="BG4">
        <v>305</v>
      </c>
      <c r="BH4">
        <v>952</v>
      </c>
      <c r="BI4">
        <v>128</v>
      </c>
      <c r="BJ4">
        <v>81</v>
      </c>
      <c r="BK4">
        <v>908</v>
      </c>
      <c r="BL4">
        <v>744</v>
      </c>
      <c r="BM4">
        <v>333</v>
      </c>
      <c r="BN4">
        <v>862</v>
      </c>
      <c r="BO4">
        <v>606</v>
      </c>
      <c r="BP4">
        <v>352</v>
      </c>
      <c r="BQ4">
        <v>233</v>
      </c>
      <c r="BR4">
        <v>502</v>
      </c>
      <c r="BS4">
        <v>693</v>
      </c>
      <c r="BT4">
        <v>828</v>
      </c>
      <c r="BU4">
        <v>189</v>
      </c>
      <c r="BV4">
        <v>89</v>
      </c>
      <c r="BW4">
        <v>705</v>
      </c>
      <c r="BX4">
        <v>486</v>
      </c>
      <c r="BY4">
        <v>142</v>
      </c>
      <c r="BZ4">
        <v>575</v>
      </c>
      <c r="CA4">
        <v>972</v>
      </c>
      <c r="CB4">
        <v>222</v>
      </c>
      <c r="CC4">
        <v>593</v>
      </c>
      <c r="CD4">
        <v>259</v>
      </c>
      <c r="CE4">
        <v>492</v>
      </c>
      <c r="CF4">
        <v>227</v>
      </c>
      <c r="CG4">
        <v>195</v>
      </c>
      <c r="CH4">
        <v>374</v>
      </c>
      <c r="CI4">
        <v>539</v>
      </c>
      <c r="CJ4">
        <v>2</v>
      </c>
      <c r="CK4">
        <v>865</v>
      </c>
      <c r="CL4">
        <v>308</v>
      </c>
      <c r="CM4">
        <v>118</v>
      </c>
      <c r="CN4">
        <v>126</v>
      </c>
      <c r="CO4">
        <v>881</v>
      </c>
      <c r="CP4">
        <v>126</v>
      </c>
      <c r="CQ4">
        <v>645</v>
      </c>
      <c r="CR4">
        <v>868</v>
      </c>
      <c r="CS4">
        <v>943</v>
      </c>
      <c r="CT4">
        <v>483</v>
      </c>
      <c r="CU4">
        <v>701</v>
      </c>
      <c r="CV4">
        <v>190</v>
      </c>
      <c r="CW4">
        <v>251</v>
      </c>
      <c r="CX4" s="2">
        <v>872</v>
      </c>
      <c r="CY4">
        <v>905</v>
      </c>
      <c r="CZ4">
        <v>632</v>
      </c>
      <c r="DA4">
        <v>842</v>
      </c>
      <c r="DB4">
        <v>42</v>
      </c>
      <c r="DC4">
        <v>517</v>
      </c>
      <c r="DD4">
        <v>950</v>
      </c>
      <c r="DE4">
        <v>891</v>
      </c>
      <c r="DF4">
        <v>536</v>
      </c>
      <c r="DG4">
        <v>462</v>
      </c>
    </row>
    <row r="5" spans="1:140" x14ac:dyDescent="0.35">
      <c r="A5" t="s">
        <v>114</v>
      </c>
      <c r="B5">
        <v>77</v>
      </c>
      <c r="C5">
        <v>322</v>
      </c>
      <c r="D5">
        <v>260</v>
      </c>
      <c r="E5">
        <v>233</v>
      </c>
      <c r="F5">
        <v>284</v>
      </c>
      <c r="G5">
        <v>399</v>
      </c>
      <c r="H5">
        <v>370</v>
      </c>
      <c r="I5">
        <v>209</v>
      </c>
      <c r="J5">
        <v>368</v>
      </c>
      <c r="K5">
        <v>240</v>
      </c>
      <c r="L5">
        <v>350</v>
      </c>
      <c r="M5">
        <v>402</v>
      </c>
      <c r="N5">
        <v>343</v>
      </c>
      <c r="O5">
        <v>204</v>
      </c>
      <c r="P5">
        <v>298</v>
      </c>
      <c r="Q5">
        <v>226</v>
      </c>
      <c r="R5">
        <v>235</v>
      </c>
      <c r="S5">
        <v>4</v>
      </c>
      <c r="T5">
        <v>478</v>
      </c>
      <c r="U5">
        <v>174</v>
      </c>
      <c r="V5">
        <v>451</v>
      </c>
      <c r="W5">
        <v>295</v>
      </c>
      <c r="X5">
        <v>77</v>
      </c>
      <c r="Y5">
        <v>322</v>
      </c>
      <c r="Z5">
        <v>260</v>
      </c>
      <c r="AA5">
        <v>233</v>
      </c>
      <c r="AB5">
        <v>284</v>
      </c>
      <c r="AC5">
        <v>399</v>
      </c>
      <c r="AD5">
        <v>370</v>
      </c>
      <c r="AE5">
        <v>209</v>
      </c>
      <c r="AF5">
        <v>368</v>
      </c>
      <c r="AG5">
        <v>240</v>
      </c>
      <c r="AH5">
        <v>350</v>
      </c>
      <c r="AI5">
        <v>402</v>
      </c>
      <c r="AJ5">
        <v>343</v>
      </c>
      <c r="AK5">
        <v>204</v>
      </c>
      <c r="AL5">
        <v>298</v>
      </c>
      <c r="AM5">
        <v>226</v>
      </c>
      <c r="AN5">
        <v>235</v>
      </c>
      <c r="AO5">
        <v>4</v>
      </c>
      <c r="AP5">
        <v>478</v>
      </c>
      <c r="AQ5">
        <v>174</v>
      </c>
      <c r="AR5">
        <v>451</v>
      </c>
      <c r="AS5">
        <v>295</v>
      </c>
      <c r="AT5">
        <v>77</v>
      </c>
      <c r="AU5">
        <v>322</v>
      </c>
      <c r="AV5">
        <v>260</v>
      </c>
      <c r="AW5">
        <v>233</v>
      </c>
      <c r="AX5">
        <v>284</v>
      </c>
      <c r="AY5">
        <v>399</v>
      </c>
      <c r="AZ5">
        <v>370</v>
      </c>
      <c r="BA5">
        <v>209</v>
      </c>
      <c r="BB5">
        <v>368</v>
      </c>
      <c r="BC5">
        <v>240</v>
      </c>
      <c r="BD5">
        <v>350</v>
      </c>
      <c r="BE5">
        <v>402</v>
      </c>
      <c r="BF5">
        <v>343</v>
      </c>
      <c r="BG5">
        <v>204</v>
      </c>
      <c r="BH5">
        <v>298</v>
      </c>
      <c r="BI5">
        <v>226</v>
      </c>
      <c r="BJ5">
        <v>235</v>
      </c>
      <c r="BK5">
        <v>4</v>
      </c>
      <c r="BL5">
        <v>478</v>
      </c>
      <c r="BM5">
        <v>174</v>
      </c>
      <c r="BN5">
        <v>451</v>
      </c>
      <c r="BO5">
        <v>295</v>
      </c>
      <c r="BP5">
        <v>77</v>
      </c>
      <c r="BQ5">
        <v>322</v>
      </c>
      <c r="BR5">
        <v>260</v>
      </c>
      <c r="BS5">
        <v>233</v>
      </c>
      <c r="BT5">
        <v>284</v>
      </c>
      <c r="BU5">
        <v>399</v>
      </c>
      <c r="BV5">
        <v>370</v>
      </c>
      <c r="BW5">
        <v>209</v>
      </c>
      <c r="BX5">
        <v>368</v>
      </c>
      <c r="BY5">
        <v>240</v>
      </c>
      <c r="BZ5">
        <v>350</v>
      </c>
      <c r="CA5">
        <v>402</v>
      </c>
      <c r="CB5">
        <v>343</v>
      </c>
      <c r="CC5">
        <v>204</v>
      </c>
      <c r="CD5">
        <v>298</v>
      </c>
      <c r="CE5">
        <v>226</v>
      </c>
      <c r="CF5">
        <v>235</v>
      </c>
      <c r="CG5">
        <v>4</v>
      </c>
      <c r="CH5">
        <v>478</v>
      </c>
      <c r="CI5">
        <v>174</v>
      </c>
      <c r="CJ5">
        <v>451</v>
      </c>
      <c r="CK5">
        <v>295</v>
      </c>
      <c r="CL5">
        <v>77</v>
      </c>
      <c r="CM5">
        <v>322</v>
      </c>
      <c r="CN5">
        <v>260</v>
      </c>
      <c r="CO5">
        <v>233</v>
      </c>
      <c r="CP5">
        <v>284</v>
      </c>
      <c r="CQ5">
        <v>399</v>
      </c>
      <c r="CR5">
        <v>370</v>
      </c>
      <c r="CS5">
        <v>209</v>
      </c>
      <c r="CT5">
        <v>368</v>
      </c>
      <c r="CU5">
        <v>240</v>
      </c>
      <c r="CV5">
        <v>350</v>
      </c>
      <c r="CW5">
        <v>402</v>
      </c>
      <c r="CX5" s="2">
        <v>343</v>
      </c>
      <c r="CY5">
        <v>204</v>
      </c>
      <c r="CZ5">
        <v>298</v>
      </c>
      <c r="DA5">
        <v>226</v>
      </c>
      <c r="DB5">
        <v>235</v>
      </c>
      <c r="DC5">
        <v>4</v>
      </c>
      <c r="DD5">
        <v>478</v>
      </c>
      <c r="DE5">
        <v>174</v>
      </c>
      <c r="DF5">
        <v>451</v>
      </c>
      <c r="DG5">
        <v>295</v>
      </c>
    </row>
    <row r="6" spans="1:140" x14ac:dyDescent="0.35">
      <c r="A6" t="s">
        <v>115</v>
      </c>
      <c r="B6">
        <v>779</v>
      </c>
      <c r="C6">
        <v>532</v>
      </c>
      <c r="D6">
        <v>86</v>
      </c>
      <c r="E6">
        <v>290</v>
      </c>
      <c r="F6">
        <v>534</v>
      </c>
      <c r="G6">
        <v>505</v>
      </c>
      <c r="H6">
        <v>249</v>
      </c>
      <c r="I6">
        <v>503</v>
      </c>
      <c r="J6">
        <v>991</v>
      </c>
      <c r="K6">
        <v>705</v>
      </c>
      <c r="L6">
        <v>357</v>
      </c>
      <c r="M6">
        <v>112</v>
      </c>
      <c r="N6">
        <v>927</v>
      </c>
      <c r="O6">
        <v>582</v>
      </c>
      <c r="P6">
        <v>746</v>
      </c>
      <c r="Q6">
        <v>677</v>
      </c>
      <c r="R6">
        <v>405</v>
      </c>
      <c r="S6">
        <v>758</v>
      </c>
      <c r="T6">
        <v>412</v>
      </c>
      <c r="U6">
        <v>890</v>
      </c>
      <c r="V6">
        <v>944</v>
      </c>
      <c r="W6">
        <v>818</v>
      </c>
      <c r="X6">
        <v>293</v>
      </c>
      <c r="Y6">
        <v>575</v>
      </c>
      <c r="Z6">
        <v>10</v>
      </c>
      <c r="AA6">
        <v>294</v>
      </c>
      <c r="AB6">
        <v>593</v>
      </c>
      <c r="AC6">
        <v>380</v>
      </c>
      <c r="AD6">
        <v>133</v>
      </c>
      <c r="AE6">
        <v>886</v>
      </c>
      <c r="AF6">
        <v>956</v>
      </c>
      <c r="AG6">
        <v>886</v>
      </c>
      <c r="AH6">
        <v>506</v>
      </c>
      <c r="AI6">
        <v>581</v>
      </c>
      <c r="AJ6">
        <v>558</v>
      </c>
      <c r="AK6">
        <v>879</v>
      </c>
      <c r="AL6">
        <v>322</v>
      </c>
      <c r="AM6">
        <v>613</v>
      </c>
      <c r="AN6">
        <v>613</v>
      </c>
      <c r="AO6">
        <v>888</v>
      </c>
      <c r="AP6">
        <v>592</v>
      </c>
      <c r="AQ6">
        <v>192</v>
      </c>
      <c r="AR6">
        <v>249</v>
      </c>
      <c r="AS6">
        <v>293</v>
      </c>
      <c r="AT6">
        <v>283</v>
      </c>
      <c r="AU6">
        <v>156</v>
      </c>
      <c r="AV6">
        <v>336</v>
      </c>
      <c r="AW6">
        <v>192</v>
      </c>
      <c r="AX6">
        <v>226</v>
      </c>
      <c r="AY6">
        <v>634</v>
      </c>
      <c r="AZ6">
        <v>713</v>
      </c>
      <c r="BA6">
        <v>961</v>
      </c>
      <c r="BB6">
        <v>41</v>
      </c>
      <c r="BC6">
        <v>988</v>
      </c>
      <c r="BD6">
        <v>628</v>
      </c>
      <c r="BE6">
        <v>286</v>
      </c>
      <c r="BF6">
        <v>90</v>
      </c>
      <c r="BG6">
        <v>350</v>
      </c>
      <c r="BH6">
        <v>312</v>
      </c>
      <c r="BI6">
        <v>127</v>
      </c>
      <c r="BJ6">
        <v>862</v>
      </c>
      <c r="BK6">
        <v>433</v>
      </c>
      <c r="BL6">
        <v>311</v>
      </c>
      <c r="BM6">
        <v>795</v>
      </c>
      <c r="BN6">
        <v>94</v>
      </c>
      <c r="BO6">
        <v>249</v>
      </c>
      <c r="BP6">
        <v>293</v>
      </c>
      <c r="BQ6">
        <v>825</v>
      </c>
      <c r="BR6">
        <v>986</v>
      </c>
      <c r="BS6">
        <v>360</v>
      </c>
      <c r="BT6">
        <v>590</v>
      </c>
      <c r="BU6">
        <v>435</v>
      </c>
      <c r="BV6">
        <v>713</v>
      </c>
      <c r="BW6">
        <v>40</v>
      </c>
      <c r="BX6">
        <v>881</v>
      </c>
      <c r="BY6">
        <v>942</v>
      </c>
      <c r="BZ6">
        <v>910</v>
      </c>
      <c r="CA6">
        <v>663</v>
      </c>
      <c r="CB6">
        <v>815</v>
      </c>
      <c r="CC6">
        <v>523</v>
      </c>
      <c r="CD6">
        <v>901</v>
      </c>
      <c r="CE6">
        <v>500</v>
      </c>
      <c r="CF6">
        <v>637</v>
      </c>
      <c r="CG6">
        <v>972</v>
      </c>
      <c r="CH6">
        <v>294</v>
      </c>
      <c r="CI6">
        <v>815</v>
      </c>
      <c r="CJ6">
        <v>860</v>
      </c>
      <c r="CK6">
        <v>736</v>
      </c>
      <c r="CL6">
        <v>929</v>
      </c>
      <c r="CM6">
        <v>650</v>
      </c>
      <c r="CN6">
        <v>396</v>
      </c>
      <c r="CO6">
        <v>541</v>
      </c>
      <c r="CP6">
        <v>471</v>
      </c>
      <c r="CQ6">
        <v>370</v>
      </c>
      <c r="CR6">
        <v>727</v>
      </c>
      <c r="CS6">
        <v>639</v>
      </c>
      <c r="CT6">
        <v>626</v>
      </c>
      <c r="CU6">
        <v>955</v>
      </c>
      <c r="CV6">
        <v>31</v>
      </c>
      <c r="CW6">
        <v>250</v>
      </c>
      <c r="CX6" s="2">
        <v>911</v>
      </c>
      <c r="CY6">
        <v>688</v>
      </c>
      <c r="CZ6">
        <v>677</v>
      </c>
      <c r="DA6">
        <v>788</v>
      </c>
      <c r="DB6">
        <v>650</v>
      </c>
      <c r="DC6">
        <v>734</v>
      </c>
      <c r="DD6">
        <v>543</v>
      </c>
      <c r="DE6">
        <v>337</v>
      </c>
      <c r="DF6">
        <v>514</v>
      </c>
      <c r="DG6">
        <v>126</v>
      </c>
    </row>
    <row r="9" spans="1:140" x14ac:dyDescent="0.35">
      <c r="CX9" s="2" t="s">
        <v>140</v>
      </c>
    </row>
    <row r="10" spans="1:140" x14ac:dyDescent="0.3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Q10" t="s">
        <v>16</v>
      </c>
      <c r="R10" t="s">
        <v>17</v>
      </c>
      <c r="S10" t="s">
        <v>18</v>
      </c>
      <c r="T10" t="s">
        <v>19</v>
      </c>
      <c r="U10" t="s">
        <v>20</v>
      </c>
      <c r="V10" t="s">
        <v>21</v>
      </c>
      <c r="W10" t="s">
        <v>22</v>
      </c>
      <c r="X10" t="s">
        <v>23</v>
      </c>
      <c r="Y10" t="s">
        <v>24</v>
      </c>
      <c r="Z10" t="s">
        <v>25</v>
      </c>
      <c r="AA10" t="s">
        <v>26</v>
      </c>
      <c r="AB10" t="s">
        <v>27</v>
      </c>
      <c r="AC10" t="s">
        <v>28</v>
      </c>
      <c r="AD10" t="s">
        <v>29</v>
      </c>
      <c r="AE10" t="s">
        <v>30</v>
      </c>
      <c r="AF10" t="s">
        <v>31</v>
      </c>
      <c r="AG10" t="s">
        <v>32</v>
      </c>
      <c r="AH10" t="s">
        <v>33</v>
      </c>
      <c r="AI10" t="s">
        <v>34</v>
      </c>
      <c r="AJ10" t="s">
        <v>35</v>
      </c>
      <c r="AK10" t="s">
        <v>36</v>
      </c>
      <c r="AL10" t="s">
        <v>37</v>
      </c>
      <c r="AM10" t="s">
        <v>38</v>
      </c>
      <c r="AN10" t="s">
        <v>39</v>
      </c>
      <c r="AO10" t="s">
        <v>40</v>
      </c>
      <c r="AP10" t="s">
        <v>41</v>
      </c>
      <c r="AQ10" t="s">
        <v>42</v>
      </c>
      <c r="AR10" t="s">
        <v>43</v>
      </c>
      <c r="AS10" t="s">
        <v>44</v>
      </c>
      <c r="AT10" t="s">
        <v>45</v>
      </c>
      <c r="AU10" t="s">
        <v>46</v>
      </c>
      <c r="AV10" t="s">
        <v>47</v>
      </c>
      <c r="AW10" t="s">
        <v>48</v>
      </c>
      <c r="AX10" t="s">
        <v>49</v>
      </c>
      <c r="AY10" t="s">
        <v>50</v>
      </c>
      <c r="AZ10" t="s">
        <v>51</v>
      </c>
      <c r="BA10" t="s">
        <v>52</v>
      </c>
      <c r="BB10" t="s">
        <v>53</v>
      </c>
      <c r="BC10" t="s">
        <v>54</v>
      </c>
      <c r="BD10" t="s">
        <v>55</v>
      </c>
      <c r="BE10" t="s">
        <v>56</v>
      </c>
      <c r="BF10" t="s">
        <v>57</v>
      </c>
      <c r="BG10" t="s">
        <v>58</v>
      </c>
      <c r="BH10" t="s">
        <v>59</v>
      </c>
      <c r="BI10" t="s">
        <v>60</v>
      </c>
      <c r="BJ10" t="s">
        <v>61</v>
      </c>
      <c r="BK10" t="s">
        <v>62</v>
      </c>
      <c r="BL10" t="s">
        <v>63</v>
      </c>
      <c r="BM10" t="s">
        <v>64</v>
      </c>
      <c r="BN10" t="s">
        <v>65</v>
      </c>
      <c r="BO10" t="s">
        <v>66</v>
      </c>
      <c r="BP10" t="s">
        <v>67</v>
      </c>
      <c r="BQ10" t="s">
        <v>68</v>
      </c>
      <c r="BR10" t="s">
        <v>69</v>
      </c>
      <c r="BS10" t="s">
        <v>70</v>
      </c>
      <c r="BT10" t="s">
        <v>71</v>
      </c>
      <c r="BU10" t="s">
        <v>72</v>
      </c>
      <c r="BV10" t="s">
        <v>73</v>
      </c>
      <c r="BW10" t="s">
        <v>74</v>
      </c>
      <c r="BX10" t="s">
        <v>75</v>
      </c>
      <c r="BY10" t="s">
        <v>76</v>
      </c>
      <c r="BZ10" t="s">
        <v>77</v>
      </c>
      <c r="CA10" t="s">
        <v>78</v>
      </c>
      <c r="CB10" t="s">
        <v>79</v>
      </c>
      <c r="CC10" t="s">
        <v>80</v>
      </c>
      <c r="CD10" t="s">
        <v>81</v>
      </c>
      <c r="CE10" t="s">
        <v>82</v>
      </c>
      <c r="CF10" t="s">
        <v>83</v>
      </c>
      <c r="CG10" t="s">
        <v>84</v>
      </c>
      <c r="CH10" t="s">
        <v>85</v>
      </c>
      <c r="CI10" t="s">
        <v>86</v>
      </c>
      <c r="CJ10" t="s">
        <v>87</v>
      </c>
      <c r="CK10" t="s">
        <v>88</v>
      </c>
      <c r="CL10" t="s">
        <v>89</v>
      </c>
      <c r="CM10" t="s">
        <v>90</v>
      </c>
      <c r="CN10" t="s">
        <v>91</v>
      </c>
      <c r="CO10" t="s">
        <v>92</v>
      </c>
      <c r="CP10" t="s">
        <v>93</v>
      </c>
      <c r="CQ10" t="s">
        <v>94</v>
      </c>
      <c r="CR10" t="s">
        <v>95</v>
      </c>
      <c r="CS10" t="s">
        <v>96</v>
      </c>
      <c r="CT10" t="s">
        <v>97</v>
      </c>
      <c r="CU10" t="s">
        <v>98</v>
      </c>
      <c r="CV10" t="s">
        <v>99</v>
      </c>
      <c r="CW10" t="s">
        <v>100</v>
      </c>
      <c r="CX10" s="2" t="s">
        <v>101</v>
      </c>
      <c r="CY10" t="s">
        <v>102</v>
      </c>
      <c r="CZ10" t="s">
        <v>103</v>
      </c>
      <c r="DA10" t="s">
        <v>104</v>
      </c>
      <c r="DB10" t="s">
        <v>105</v>
      </c>
      <c r="DC10" t="s">
        <v>106</v>
      </c>
      <c r="DD10" t="s">
        <v>107</v>
      </c>
      <c r="DE10" t="s">
        <v>108</v>
      </c>
      <c r="DF10" t="s">
        <v>109</v>
      </c>
      <c r="DG10" t="s">
        <v>110</v>
      </c>
      <c r="DH10" t="s">
        <v>119</v>
      </c>
      <c r="DI10" t="s">
        <v>101</v>
      </c>
      <c r="DJ10" t="s">
        <v>102</v>
      </c>
      <c r="DK10" t="s">
        <v>103</v>
      </c>
      <c r="DL10" t="s">
        <v>104</v>
      </c>
      <c r="DM10" t="s">
        <v>105</v>
      </c>
      <c r="DN10" t="s">
        <v>106</v>
      </c>
      <c r="DO10" t="s">
        <v>107</v>
      </c>
      <c r="DP10" t="s">
        <v>108</v>
      </c>
      <c r="DQ10" t="s">
        <v>109</v>
      </c>
      <c r="DR10" t="s">
        <v>110</v>
      </c>
      <c r="DS10" s="1" t="s">
        <v>120</v>
      </c>
      <c r="DZ10" t="s">
        <v>101</v>
      </c>
      <c r="EA10" t="s">
        <v>102</v>
      </c>
      <c r="EB10" t="s">
        <v>103</v>
      </c>
      <c r="EC10" t="s">
        <v>104</v>
      </c>
      <c r="ED10" t="s">
        <v>105</v>
      </c>
      <c r="EE10" t="s">
        <v>106</v>
      </c>
      <c r="EF10" t="s">
        <v>107</v>
      </c>
      <c r="EG10" t="s">
        <v>108</v>
      </c>
      <c r="EH10" t="s">
        <v>109</v>
      </c>
      <c r="EI10" t="s">
        <v>110</v>
      </c>
      <c r="EJ10" s="1" t="s">
        <v>120</v>
      </c>
    </row>
    <row r="11" spans="1:140" x14ac:dyDescent="0.35">
      <c r="A11" t="s">
        <v>111</v>
      </c>
      <c r="B11">
        <v>3</v>
      </c>
      <c r="C11">
        <v>12</v>
      </c>
      <c r="D11">
        <v>41</v>
      </c>
      <c r="E11">
        <v>2</v>
      </c>
      <c r="F11">
        <v>31</v>
      </c>
      <c r="G11">
        <v>2</v>
      </c>
      <c r="H11">
        <v>43</v>
      </c>
      <c r="I11">
        <v>43</v>
      </c>
      <c r="J11">
        <v>22</v>
      </c>
      <c r="K11">
        <v>32</v>
      </c>
      <c r="L11">
        <v>3</v>
      </c>
      <c r="M11">
        <v>12</v>
      </c>
      <c r="N11">
        <v>41</v>
      </c>
      <c r="O11">
        <v>2</v>
      </c>
      <c r="P11">
        <v>31</v>
      </c>
      <c r="Q11">
        <v>2</v>
      </c>
      <c r="R11">
        <v>43</v>
      </c>
      <c r="S11">
        <v>43</v>
      </c>
      <c r="T11">
        <v>22</v>
      </c>
      <c r="U11">
        <v>32</v>
      </c>
      <c r="V11">
        <v>3</v>
      </c>
      <c r="W11">
        <v>12</v>
      </c>
      <c r="X11">
        <v>41</v>
      </c>
      <c r="Y11">
        <v>2</v>
      </c>
      <c r="Z11">
        <v>31</v>
      </c>
      <c r="AA11">
        <v>2</v>
      </c>
      <c r="AB11">
        <v>43</v>
      </c>
      <c r="AC11">
        <v>43</v>
      </c>
      <c r="AD11">
        <v>22</v>
      </c>
      <c r="AE11">
        <v>32</v>
      </c>
      <c r="AF11">
        <v>3</v>
      </c>
      <c r="AG11">
        <v>12</v>
      </c>
      <c r="AH11">
        <v>41</v>
      </c>
      <c r="AI11">
        <v>2</v>
      </c>
      <c r="AJ11">
        <v>31</v>
      </c>
      <c r="AK11">
        <v>2</v>
      </c>
      <c r="AL11">
        <v>43</v>
      </c>
      <c r="AM11">
        <v>43</v>
      </c>
      <c r="AN11">
        <v>22</v>
      </c>
      <c r="AO11">
        <v>32</v>
      </c>
      <c r="AP11">
        <v>3</v>
      </c>
      <c r="AQ11">
        <v>12</v>
      </c>
      <c r="AR11">
        <v>41</v>
      </c>
      <c r="AS11">
        <v>2</v>
      </c>
      <c r="AT11">
        <v>31</v>
      </c>
      <c r="AU11">
        <v>2</v>
      </c>
      <c r="AV11">
        <v>43</v>
      </c>
      <c r="AW11">
        <v>43</v>
      </c>
      <c r="AX11">
        <v>22</v>
      </c>
      <c r="AY11">
        <v>32</v>
      </c>
      <c r="AZ11">
        <v>3</v>
      </c>
      <c r="BA11">
        <v>12</v>
      </c>
      <c r="BB11">
        <v>41</v>
      </c>
      <c r="BC11">
        <v>2</v>
      </c>
      <c r="BD11">
        <v>31</v>
      </c>
      <c r="BE11">
        <v>2</v>
      </c>
      <c r="BF11">
        <v>43</v>
      </c>
      <c r="BG11">
        <v>43</v>
      </c>
      <c r="BH11">
        <v>22</v>
      </c>
      <c r="BI11">
        <v>32</v>
      </c>
      <c r="BJ11">
        <v>3</v>
      </c>
      <c r="BK11">
        <v>12</v>
      </c>
      <c r="BL11">
        <v>41</v>
      </c>
      <c r="BM11">
        <v>2</v>
      </c>
      <c r="BN11">
        <v>31</v>
      </c>
      <c r="BO11">
        <v>2</v>
      </c>
      <c r="BP11">
        <v>43</v>
      </c>
      <c r="BQ11">
        <v>43</v>
      </c>
      <c r="BR11">
        <v>22</v>
      </c>
      <c r="BS11">
        <v>32</v>
      </c>
      <c r="BT11">
        <v>3</v>
      </c>
      <c r="BU11">
        <v>12</v>
      </c>
      <c r="BV11">
        <v>41</v>
      </c>
      <c r="BW11">
        <v>2</v>
      </c>
      <c r="BX11">
        <v>31</v>
      </c>
      <c r="BY11">
        <v>2</v>
      </c>
      <c r="BZ11">
        <v>43</v>
      </c>
      <c r="CA11">
        <v>43</v>
      </c>
      <c r="CB11">
        <v>22</v>
      </c>
      <c r="CC11">
        <v>32</v>
      </c>
      <c r="CD11">
        <v>3</v>
      </c>
      <c r="CE11">
        <v>12</v>
      </c>
      <c r="CF11">
        <v>41</v>
      </c>
      <c r="CG11">
        <v>2</v>
      </c>
      <c r="CH11">
        <v>31</v>
      </c>
      <c r="CI11">
        <v>2</v>
      </c>
      <c r="CJ11">
        <v>43</v>
      </c>
      <c r="CK11">
        <v>43</v>
      </c>
      <c r="CL11">
        <v>22</v>
      </c>
      <c r="CM11">
        <v>32</v>
      </c>
      <c r="CN11">
        <v>3</v>
      </c>
      <c r="CO11">
        <v>12</v>
      </c>
      <c r="CP11">
        <v>41</v>
      </c>
      <c r="CQ11">
        <v>2</v>
      </c>
      <c r="CR11">
        <v>31</v>
      </c>
      <c r="CS11">
        <v>2</v>
      </c>
      <c r="CT11">
        <v>43</v>
      </c>
      <c r="CU11">
        <v>43</v>
      </c>
      <c r="CV11">
        <v>22</v>
      </c>
      <c r="CW11">
        <v>32</v>
      </c>
      <c r="CX11" s="2">
        <f>CW11</f>
        <v>32</v>
      </c>
      <c r="CY11">
        <f t="shared" ref="CY11:DG11" si="0">CX11</f>
        <v>32</v>
      </c>
      <c r="CZ11">
        <f t="shared" si="0"/>
        <v>32</v>
      </c>
      <c r="DA11">
        <f t="shared" si="0"/>
        <v>32</v>
      </c>
      <c r="DB11">
        <f t="shared" si="0"/>
        <v>32</v>
      </c>
      <c r="DC11">
        <f t="shared" si="0"/>
        <v>32</v>
      </c>
      <c r="DD11">
        <f t="shared" si="0"/>
        <v>32</v>
      </c>
      <c r="DE11">
        <f t="shared" si="0"/>
        <v>32</v>
      </c>
      <c r="DF11">
        <f t="shared" si="0"/>
        <v>32</v>
      </c>
      <c r="DG11">
        <f t="shared" si="0"/>
        <v>32</v>
      </c>
      <c r="DI11">
        <f>ABS(CX11-CX2)</f>
        <v>29</v>
      </c>
      <c r="DJ11">
        <f t="shared" ref="DJ11:DR11" si="1">ABS(CY11-CY2)</f>
        <v>20</v>
      </c>
      <c r="DK11">
        <f t="shared" si="1"/>
        <v>9</v>
      </c>
      <c r="DL11">
        <f t="shared" si="1"/>
        <v>30</v>
      </c>
      <c r="DM11">
        <f t="shared" si="1"/>
        <v>1</v>
      </c>
      <c r="DN11">
        <f t="shared" si="1"/>
        <v>30</v>
      </c>
      <c r="DO11">
        <f t="shared" si="1"/>
        <v>11</v>
      </c>
      <c r="DP11">
        <f t="shared" si="1"/>
        <v>11</v>
      </c>
      <c r="DQ11">
        <f t="shared" si="1"/>
        <v>10</v>
      </c>
      <c r="DR11">
        <f t="shared" si="1"/>
        <v>0</v>
      </c>
      <c r="DS11" s="1">
        <f>SUM(DI11:DR11)</f>
        <v>151</v>
      </c>
      <c r="DZ11">
        <f>ABS(CX11-CX$2)/MAX($B$2:$CW$2)</f>
        <v>0.67441860465116277</v>
      </c>
      <c r="EA11">
        <f t="shared" ref="EA11:EI11" si="2">ABS(CY11-CY$2)/MAX($B$2:$CW$2)</f>
        <v>0.46511627906976744</v>
      </c>
      <c r="EB11">
        <f t="shared" si="2"/>
        <v>0.20930232558139536</v>
      </c>
      <c r="EC11">
        <f t="shared" si="2"/>
        <v>0.69767441860465118</v>
      </c>
      <c r="ED11">
        <f t="shared" si="2"/>
        <v>2.3255813953488372E-2</v>
      </c>
      <c r="EE11">
        <f t="shared" si="2"/>
        <v>0.69767441860465118</v>
      </c>
      <c r="EF11">
        <f t="shared" si="2"/>
        <v>0.2558139534883721</v>
      </c>
      <c r="EG11">
        <f t="shared" si="2"/>
        <v>0.2558139534883721</v>
      </c>
      <c r="EH11">
        <f t="shared" si="2"/>
        <v>0.23255813953488372</v>
      </c>
      <c r="EI11">
        <f t="shared" si="2"/>
        <v>0</v>
      </c>
      <c r="EJ11" s="1">
        <f>SUM(DZ11:EI11)</f>
        <v>3.5116279069767442</v>
      </c>
    </row>
    <row r="12" spans="1:140" x14ac:dyDescent="0.35">
      <c r="A12" t="s">
        <v>112</v>
      </c>
      <c r="B12">
        <v>0</v>
      </c>
      <c r="C12">
        <v>0</v>
      </c>
      <c r="D12">
        <v>112</v>
      </c>
      <c r="E12">
        <v>2</v>
      </c>
      <c r="F12">
        <v>100</v>
      </c>
      <c r="G12">
        <v>33</v>
      </c>
      <c r="H12">
        <v>55</v>
      </c>
      <c r="I12">
        <v>53</v>
      </c>
      <c r="J12">
        <v>23</v>
      </c>
      <c r="K12">
        <v>12</v>
      </c>
      <c r="L12">
        <v>0</v>
      </c>
      <c r="M12">
        <v>0</v>
      </c>
      <c r="N12">
        <v>112</v>
      </c>
      <c r="O12">
        <v>2</v>
      </c>
      <c r="P12">
        <v>100</v>
      </c>
      <c r="Q12">
        <v>33</v>
      </c>
      <c r="R12">
        <v>55</v>
      </c>
      <c r="S12">
        <v>53</v>
      </c>
      <c r="T12">
        <v>23</v>
      </c>
      <c r="U12">
        <v>12</v>
      </c>
      <c r="V12">
        <v>0</v>
      </c>
      <c r="W12">
        <v>0</v>
      </c>
      <c r="X12">
        <v>112</v>
      </c>
      <c r="Y12">
        <v>2</v>
      </c>
      <c r="Z12">
        <v>100</v>
      </c>
      <c r="AA12">
        <v>33</v>
      </c>
      <c r="AB12">
        <v>55</v>
      </c>
      <c r="AC12">
        <v>53</v>
      </c>
      <c r="AD12">
        <v>23</v>
      </c>
      <c r="AE12">
        <v>12</v>
      </c>
      <c r="AF12">
        <v>0</v>
      </c>
      <c r="AG12">
        <v>0</v>
      </c>
      <c r="AH12">
        <v>112</v>
      </c>
      <c r="AI12">
        <v>2</v>
      </c>
      <c r="AJ12">
        <v>100</v>
      </c>
      <c r="AK12">
        <v>33</v>
      </c>
      <c r="AL12">
        <v>55</v>
      </c>
      <c r="AM12">
        <v>53</v>
      </c>
      <c r="AN12">
        <v>23</v>
      </c>
      <c r="AO12">
        <v>12</v>
      </c>
      <c r="AP12">
        <v>0</v>
      </c>
      <c r="AQ12">
        <v>0</v>
      </c>
      <c r="AR12">
        <v>112</v>
      </c>
      <c r="AS12">
        <v>2</v>
      </c>
      <c r="AT12">
        <v>100</v>
      </c>
      <c r="AU12">
        <v>33</v>
      </c>
      <c r="AV12">
        <v>55</v>
      </c>
      <c r="AW12">
        <v>53</v>
      </c>
      <c r="AX12">
        <v>23</v>
      </c>
      <c r="AY12">
        <v>12</v>
      </c>
      <c r="AZ12">
        <v>0</v>
      </c>
      <c r="BA12">
        <v>0</v>
      </c>
      <c r="BB12">
        <v>112</v>
      </c>
      <c r="BC12">
        <v>2</v>
      </c>
      <c r="BD12">
        <v>100</v>
      </c>
      <c r="BE12">
        <v>33</v>
      </c>
      <c r="BF12">
        <v>55</v>
      </c>
      <c r="BG12">
        <v>53</v>
      </c>
      <c r="BH12">
        <v>23</v>
      </c>
      <c r="BI12">
        <v>12</v>
      </c>
      <c r="BJ12">
        <v>0</v>
      </c>
      <c r="BK12">
        <v>0</v>
      </c>
      <c r="BL12">
        <v>112</v>
      </c>
      <c r="BM12">
        <v>2</v>
      </c>
      <c r="BN12">
        <v>100</v>
      </c>
      <c r="BO12">
        <v>33</v>
      </c>
      <c r="BP12">
        <v>55</v>
      </c>
      <c r="BQ12">
        <v>53</v>
      </c>
      <c r="BR12">
        <v>23</v>
      </c>
      <c r="BS12">
        <v>12</v>
      </c>
      <c r="BT12">
        <v>0</v>
      </c>
      <c r="BU12">
        <v>0</v>
      </c>
      <c r="BV12">
        <v>112</v>
      </c>
      <c r="BW12">
        <v>2</v>
      </c>
      <c r="BX12">
        <v>100</v>
      </c>
      <c r="BY12">
        <v>33</v>
      </c>
      <c r="BZ12">
        <v>55</v>
      </c>
      <c r="CA12">
        <v>53</v>
      </c>
      <c r="CB12">
        <v>23</v>
      </c>
      <c r="CC12">
        <v>12</v>
      </c>
      <c r="CD12">
        <v>0</v>
      </c>
      <c r="CE12">
        <v>0</v>
      </c>
      <c r="CF12">
        <v>112</v>
      </c>
      <c r="CG12">
        <v>2</v>
      </c>
      <c r="CH12">
        <v>100</v>
      </c>
      <c r="CI12">
        <v>33</v>
      </c>
      <c r="CJ12">
        <v>55</v>
      </c>
      <c r="CK12">
        <v>53</v>
      </c>
      <c r="CL12">
        <v>23</v>
      </c>
      <c r="CM12">
        <v>12</v>
      </c>
      <c r="CN12">
        <v>0</v>
      </c>
      <c r="CO12">
        <v>0</v>
      </c>
      <c r="CP12">
        <v>112</v>
      </c>
      <c r="CQ12">
        <v>2</v>
      </c>
      <c r="CR12">
        <v>100</v>
      </c>
      <c r="CS12">
        <v>33</v>
      </c>
      <c r="CT12">
        <v>55</v>
      </c>
      <c r="CU12">
        <v>53</v>
      </c>
      <c r="CV12">
        <v>23</v>
      </c>
      <c r="CW12">
        <v>12</v>
      </c>
      <c r="CX12" s="2">
        <f t="shared" ref="CX12:DG12" si="3">CW12</f>
        <v>12</v>
      </c>
      <c r="CY12">
        <f t="shared" si="3"/>
        <v>12</v>
      </c>
      <c r="CZ12">
        <f t="shared" si="3"/>
        <v>12</v>
      </c>
      <c r="DA12">
        <f t="shared" si="3"/>
        <v>12</v>
      </c>
      <c r="DB12">
        <f t="shared" si="3"/>
        <v>12</v>
      </c>
      <c r="DC12">
        <f t="shared" si="3"/>
        <v>12</v>
      </c>
      <c r="DD12">
        <f t="shared" si="3"/>
        <v>12</v>
      </c>
      <c r="DE12">
        <f t="shared" si="3"/>
        <v>12</v>
      </c>
      <c r="DF12">
        <f t="shared" si="3"/>
        <v>12</v>
      </c>
      <c r="DG12">
        <f t="shared" si="3"/>
        <v>12</v>
      </c>
      <c r="DI12">
        <f t="shared" ref="DI12:DI15" si="4">ABS(CX12-CX3)</f>
        <v>12</v>
      </c>
      <c r="DJ12">
        <f t="shared" ref="DJ12:DJ15" si="5">ABS(CY12-CY3)</f>
        <v>12</v>
      </c>
      <c r="DK12">
        <f t="shared" ref="DK12:DK15" si="6">ABS(CZ12-CZ3)</f>
        <v>100</v>
      </c>
      <c r="DL12">
        <f t="shared" ref="DL12:DL15" si="7">ABS(DA12-DA3)</f>
        <v>10</v>
      </c>
      <c r="DM12">
        <f t="shared" ref="DM12:DM15" si="8">ABS(DB12-DB3)</f>
        <v>88</v>
      </c>
      <c r="DN12">
        <f t="shared" ref="DN12:DN15" si="9">ABS(DC12-DC3)</f>
        <v>21</v>
      </c>
      <c r="DO12">
        <f t="shared" ref="DO12:DO15" si="10">ABS(DD12-DD3)</f>
        <v>43</v>
      </c>
      <c r="DP12">
        <f t="shared" ref="DP12:DP15" si="11">ABS(DE12-DE3)</f>
        <v>41</v>
      </c>
      <c r="DQ12">
        <f t="shared" ref="DQ12:DQ15" si="12">ABS(DF12-DF3)</f>
        <v>11</v>
      </c>
      <c r="DR12">
        <f t="shared" ref="DR12:DR15" si="13">ABS(DG12-DG3)</f>
        <v>0</v>
      </c>
      <c r="DS12" s="1">
        <f t="shared" ref="DS12:DS15" si="14">SUM(DI12:DR12)</f>
        <v>338</v>
      </c>
      <c r="DZ12">
        <f>ABS(CX12-CX$3)/MAX($B$3:$CW$3)</f>
        <v>0.10714285714285714</v>
      </c>
      <c r="EA12">
        <f t="shared" ref="EA12:EI12" si="15">ABS(CY12-CY$3)/MAX($B$3:$CW$3)</f>
        <v>0.10714285714285714</v>
      </c>
      <c r="EB12">
        <f t="shared" si="15"/>
        <v>0.8928571428571429</v>
      </c>
      <c r="EC12">
        <f t="shared" si="15"/>
        <v>8.9285714285714288E-2</v>
      </c>
      <c r="ED12">
        <f t="shared" si="15"/>
        <v>0.7857142857142857</v>
      </c>
      <c r="EE12">
        <f t="shared" si="15"/>
        <v>0.1875</v>
      </c>
      <c r="EF12">
        <f t="shared" si="15"/>
        <v>0.38392857142857145</v>
      </c>
      <c r="EG12">
        <f t="shared" si="15"/>
        <v>0.36607142857142855</v>
      </c>
      <c r="EH12">
        <f t="shared" si="15"/>
        <v>9.8214285714285712E-2</v>
      </c>
      <c r="EI12">
        <f t="shared" si="15"/>
        <v>0</v>
      </c>
      <c r="EJ12" s="1">
        <f t="shared" ref="EJ12:EJ15" si="16">SUM(DZ12:EI12)</f>
        <v>3.0178571428571428</v>
      </c>
    </row>
    <row r="13" spans="1:140" x14ac:dyDescent="0.35">
      <c r="A13" t="s">
        <v>113</v>
      </c>
      <c r="B13">
        <v>916</v>
      </c>
      <c r="C13">
        <v>939</v>
      </c>
      <c r="D13">
        <v>305</v>
      </c>
      <c r="E13">
        <v>952</v>
      </c>
      <c r="F13">
        <v>128</v>
      </c>
      <c r="G13">
        <v>81</v>
      </c>
      <c r="H13">
        <v>908</v>
      </c>
      <c r="I13">
        <v>744</v>
      </c>
      <c r="J13">
        <v>333</v>
      </c>
      <c r="K13">
        <v>862</v>
      </c>
      <c r="L13">
        <v>606</v>
      </c>
      <c r="M13">
        <v>352</v>
      </c>
      <c r="N13">
        <v>233</v>
      </c>
      <c r="O13">
        <v>502</v>
      </c>
      <c r="P13">
        <v>693</v>
      </c>
      <c r="Q13">
        <v>828</v>
      </c>
      <c r="R13">
        <v>189</v>
      </c>
      <c r="S13">
        <v>89</v>
      </c>
      <c r="T13">
        <v>705</v>
      </c>
      <c r="U13">
        <v>486</v>
      </c>
      <c r="V13">
        <v>142</v>
      </c>
      <c r="W13">
        <v>575</v>
      </c>
      <c r="X13">
        <v>972</v>
      </c>
      <c r="Y13">
        <v>222</v>
      </c>
      <c r="Z13">
        <v>593</v>
      </c>
      <c r="AA13">
        <v>259</v>
      </c>
      <c r="AB13">
        <v>492</v>
      </c>
      <c r="AC13">
        <v>227</v>
      </c>
      <c r="AD13">
        <v>195</v>
      </c>
      <c r="AE13">
        <v>374</v>
      </c>
      <c r="AF13">
        <v>539</v>
      </c>
      <c r="AG13">
        <v>2</v>
      </c>
      <c r="AH13">
        <v>865</v>
      </c>
      <c r="AI13">
        <v>308</v>
      </c>
      <c r="AJ13">
        <v>118</v>
      </c>
      <c r="AK13">
        <v>126</v>
      </c>
      <c r="AL13">
        <v>881</v>
      </c>
      <c r="AM13">
        <v>126</v>
      </c>
      <c r="AN13">
        <v>645</v>
      </c>
      <c r="AO13">
        <v>868</v>
      </c>
      <c r="AP13">
        <v>943</v>
      </c>
      <c r="AQ13">
        <v>483</v>
      </c>
      <c r="AR13">
        <v>701</v>
      </c>
      <c r="AS13">
        <v>190</v>
      </c>
      <c r="AT13">
        <v>251</v>
      </c>
      <c r="AU13">
        <v>872</v>
      </c>
      <c r="AV13">
        <v>905</v>
      </c>
      <c r="AW13">
        <v>632</v>
      </c>
      <c r="AX13">
        <v>842</v>
      </c>
      <c r="AY13">
        <v>42</v>
      </c>
      <c r="AZ13">
        <v>517</v>
      </c>
      <c r="BA13">
        <v>950</v>
      </c>
      <c r="BB13">
        <v>891</v>
      </c>
      <c r="BC13">
        <v>536</v>
      </c>
      <c r="BD13">
        <v>462</v>
      </c>
      <c r="BE13">
        <v>916</v>
      </c>
      <c r="BF13">
        <v>939</v>
      </c>
      <c r="BG13">
        <v>305</v>
      </c>
      <c r="BH13">
        <v>952</v>
      </c>
      <c r="BI13">
        <v>128</v>
      </c>
      <c r="BJ13">
        <v>81</v>
      </c>
      <c r="BK13">
        <v>908</v>
      </c>
      <c r="BL13">
        <v>744</v>
      </c>
      <c r="BM13">
        <v>333</v>
      </c>
      <c r="BN13">
        <v>862</v>
      </c>
      <c r="BO13">
        <v>606</v>
      </c>
      <c r="BP13">
        <v>352</v>
      </c>
      <c r="BQ13">
        <v>233</v>
      </c>
      <c r="BR13">
        <v>502</v>
      </c>
      <c r="BS13">
        <v>693</v>
      </c>
      <c r="BT13">
        <v>828</v>
      </c>
      <c r="BU13">
        <v>189</v>
      </c>
      <c r="BV13">
        <v>89</v>
      </c>
      <c r="BW13">
        <v>705</v>
      </c>
      <c r="BX13">
        <v>486</v>
      </c>
      <c r="BY13">
        <v>142</v>
      </c>
      <c r="BZ13">
        <v>575</v>
      </c>
      <c r="CA13">
        <v>972</v>
      </c>
      <c r="CB13">
        <v>222</v>
      </c>
      <c r="CC13">
        <v>593</v>
      </c>
      <c r="CD13">
        <v>259</v>
      </c>
      <c r="CE13">
        <v>492</v>
      </c>
      <c r="CF13">
        <v>227</v>
      </c>
      <c r="CG13">
        <v>195</v>
      </c>
      <c r="CH13">
        <v>374</v>
      </c>
      <c r="CI13">
        <v>539</v>
      </c>
      <c r="CJ13">
        <v>2</v>
      </c>
      <c r="CK13">
        <v>865</v>
      </c>
      <c r="CL13">
        <v>308</v>
      </c>
      <c r="CM13">
        <v>118</v>
      </c>
      <c r="CN13">
        <v>126</v>
      </c>
      <c r="CO13">
        <v>881</v>
      </c>
      <c r="CP13">
        <v>126</v>
      </c>
      <c r="CQ13">
        <v>645</v>
      </c>
      <c r="CR13">
        <v>868</v>
      </c>
      <c r="CS13">
        <v>943</v>
      </c>
      <c r="CT13">
        <v>483</v>
      </c>
      <c r="CU13">
        <v>701</v>
      </c>
      <c r="CV13">
        <v>190</v>
      </c>
      <c r="CW13">
        <v>251</v>
      </c>
      <c r="CX13" s="2">
        <f t="shared" ref="CX13:DG13" si="17">CW13</f>
        <v>251</v>
      </c>
      <c r="CY13">
        <f t="shared" si="17"/>
        <v>251</v>
      </c>
      <c r="CZ13">
        <f t="shared" si="17"/>
        <v>251</v>
      </c>
      <c r="DA13">
        <f t="shared" si="17"/>
        <v>251</v>
      </c>
      <c r="DB13">
        <f t="shared" si="17"/>
        <v>251</v>
      </c>
      <c r="DC13">
        <f t="shared" si="17"/>
        <v>251</v>
      </c>
      <c r="DD13">
        <f t="shared" si="17"/>
        <v>251</v>
      </c>
      <c r="DE13">
        <f t="shared" si="17"/>
        <v>251</v>
      </c>
      <c r="DF13">
        <f t="shared" si="17"/>
        <v>251</v>
      </c>
      <c r="DG13">
        <f t="shared" si="17"/>
        <v>251</v>
      </c>
      <c r="DI13">
        <f t="shared" si="4"/>
        <v>621</v>
      </c>
      <c r="DJ13">
        <f t="shared" si="5"/>
        <v>654</v>
      </c>
      <c r="DK13">
        <f t="shared" si="6"/>
        <v>381</v>
      </c>
      <c r="DL13">
        <f t="shared" si="7"/>
        <v>591</v>
      </c>
      <c r="DM13">
        <f t="shared" si="8"/>
        <v>209</v>
      </c>
      <c r="DN13">
        <f t="shared" si="9"/>
        <v>266</v>
      </c>
      <c r="DO13">
        <f t="shared" si="10"/>
        <v>699</v>
      </c>
      <c r="DP13">
        <f t="shared" si="11"/>
        <v>640</v>
      </c>
      <c r="DQ13">
        <f t="shared" si="12"/>
        <v>285</v>
      </c>
      <c r="DR13">
        <f t="shared" si="13"/>
        <v>211</v>
      </c>
      <c r="DS13" s="1">
        <f t="shared" si="14"/>
        <v>4557</v>
      </c>
      <c r="DZ13">
        <f>ABS(CX13-CX$4)/MAX($B$4:$CW$4)</f>
        <v>0.63888888888888884</v>
      </c>
      <c r="EA13">
        <f t="shared" ref="EA13:EI13" si="18">ABS(CY13-CY$4)/MAX($B$4:$CW$4)</f>
        <v>0.6728395061728395</v>
      </c>
      <c r="EB13">
        <f t="shared" si="18"/>
        <v>0.39197530864197533</v>
      </c>
      <c r="EC13">
        <f t="shared" si="18"/>
        <v>0.60802469135802473</v>
      </c>
      <c r="ED13">
        <f t="shared" si="18"/>
        <v>0.21502057613168724</v>
      </c>
      <c r="EE13">
        <f t="shared" si="18"/>
        <v>0.27366255144032919</v>
      </c>
      <c r="EF13">
        <f t="shared" si="18"/>
        <v>0.71913580246913578</v>
      </c>
      <c r="EG13">
        <f t="shared" si="18"/>
        <v>0.65843621399176955</v>
      </c>
      <c r="EH13">
        <f t="shared" si="18"/>
        <v>0.2932098765432099</v>
      </c>
      <c r="EI13">
        <f t="shared" si="18"/>
        <v>0.21707818930041153</v>
      </c>
      <c r="EJ13" s="1">
        <f t="shared" si="16"/>
        <v>4.6882716049382713</v>
      </c>
    </row>
    <row r="14" spans="1:140" x14ac:dyDescent="0.35">
      <c r="A14" t="s">
        <v>114</v>
      </c>
      <c r="B14">
        <v>77</v>
      </c>
      <c r="C14">
        <v>322</v>
      </c>
      <c r="D14">
        <v>260</v>
      </c>
      <c r="E14">
        <v>233</v>
      </c>
      <c r="F14">
        <v>284</v>
      </c>
      <c r="G14">
        <v>399</v>
      </c>
      <c r="H14">
        <v>370</v>
      </c>
      <c r="I14">
        <v>209</v>
      </c>
      <c r="J14">
        <v>368</v>
      </c>
      <c r="K14">
        <v>240</v>
      </c>
      <c r="L14">
        <v>350</v>
      </c>
      <c r="M14">
        <v>402</v>
      </c>
      <c r="N14">
        <v>343</v>
      </c>
      <c r="O14">
        <v>204</v>
      </c>
      <c r="P14">
        <v>298</v>
      </c>
      <c r="Q14">
        <v>226</v>
      </c>
      <c r="R14">
        <v>235</v>
      </c>
      <c r="S14">
        <v>4</v>
      </c>
      <c r="T14">
        <v>478</v>
      </c>
      <c r="U14">
        <v>174</v>
      </c>
      <c r="V14">
        <v>451</v>
      </c>
      <c r="W14">
        <v>295</v>
      </c>
      <c r="X14">
        <v>77</v>
      </c>
      <c r="Y14">
        <v>322</v>
      </c>
      <c r="Z14">
        <v>260</v>
      </c>
      <c r="AA14">
        <v>233</v>
      </c>
      <c r="AB14">
        <v>284</v>
      </c>
      <c r="AC14">
        <v>399</v>
      </c>
      <c r="AD14">
        <v>370</v>
      </c>
      <c r="AE14">
        <v>209</v>
      </c>
      <c r="AF14">
        <v>368</v>
      </c>
      <c r="AG14">
        <v>240</v>
      </c>
      <c r="AH14">
        <v>350</v>
      </c>
      <c r="AI14">
        <v>402</v>
      </c>
      <c r="AJ14">
        <v>343</v>
      </c>
      <c r="AK14">
        <v>204</v>
      </c>
      <c r="AL14">
        <v>298</v>
      </c>
      <c r="AM14">
        <v>226</v>
      </c>
      <c r="AN14">
        <v>235</v>
      </c>
      <c r="AO14">
        <v>4</v>
      </c>
      <c r="AP14">
        <v>478</v>
      </c>
      <c r="AQ14">
        <v>174</v>
      </c>
      <c r="AR14">
        <v>451</v>
      </c>
      <c r="AS14">
        <v>295</v>
      </c>
      <c r="AT14">
        <v>77</v>
      </c>
      <c r="AU14">
        <v>322</v>
      </c>
      <c r="AV14">
        <v>260</v>
      </c>
      <c r="AW14">
        <v>233</v>
      </c>
      <c r="AX14">
        <v>284</v>
      </c>
      <c r="AY14">
        <v>399</v>
      </c>
      <c r="AZ14">
        <v>370</v>
      </c>
      <c r="BA14">
        <v>209</v>
      </c>
      <c r="BB14">
        <v>368</v>
      </c>
      <c r="BC14">
        <v>240</v>
      </c>
      <c r="BD14">
        <v>350</v>
      </c>
      <c r="BE14">
        <v>402</v>
      </c>
      <c r="BF14">
        <v>343</v>
      </c>
      <c r="BG14">
        <v>204</v>
      </c>
      <c r="BH14">
        <v>298</v>
      </c>
      <c r="BI14">
        <v>226</v>
      </c>
      <c r="BJ14">
        <v>235</v>
      </c>
      <c r="BK14">
        <v>4</v>
      </c>
      <c r="BL14">
        <v>478</v>
      </c>
      <c r="BM14">
        <v>174</v>
      </c>
      <c r="BN14">
        <v>451</v>
      </c>
      <c r="BO14">
        <v>295</v>
      </c>
      <c r="BP14">
        <v>77</v>
      </c>
      <c r="BQ14">
        <v>322</v>
      </c>
      <c r="BR14">
        <v>260</v>
      </c>
      <c r="BS14">
        <v>233</v>
      </c>
      <c r="BT14">
        <v>284</v>
      </c>
      <c r="BU14">
        <v>399</v>
      </c>
      <c r="BV14">
        <v>370</v>
      </c>
      <c r="BW14">
        <v>209</v>
      </c>
      <c r="BX14">
        <v>368</v>
      </c>
      <c r="BY14">
        <v>240</v>
      </c>
      <c r="BZ14">
        <v>350</v>
      </c>
      <c r="CA14">
        <v>402</v>
      </c>
      <c r="CB14">
        <v>343</v>
      </c>
      <c r="CC14">
        <v>204</v>
      </c>
      <c r="CD14">
        <v>298</v>
      </c>
      <c r="CE14">
        <v>226</v>
      </c>
      <c r="CF14">
        <v>235</v>
      </c>
      <c r="CG14">
        <v>4</v>
      </c>
      <c r="CH14">
        <v>478</v>
      </c>
      <c r="CI14">
        <v>174</v>
      </c>
      <c r="CJ14">
        <v>451</v>
      </c>
      <c r="CK14">
        <v>295</v>
      </c>
      <c r="CL14">
        <v>77</v>
      </c>
      <c r="CM14">
        <v>322</v>
      </c>
      <c r="CN14">
        <v>260</v>
      </c>
      <c r="CO14">
        <v>233</v>
      </c>
      <c r="CP14">
        <v>284</v>
      </c>
      <c r="CQ14">
        <v>399</v>
      </c>
      <c r="CR14">
        <v>370</v>
      </c>
      <c r="CS14">
        <v>209</v>
      </c>
      <c r="CT14">
        <v>368</v>
      </c>
      <c r="CU14">
        <v>240</v>
      </c>
      <c r="CV14">
        <v>350</v>
      </c>
      <c r="CW14">
        <v>402</v>
      </c>
      <c r="CX14" s="2">
        <f t="shared" ref="CX14:DG14" si="19">CW14</f>
        <v>402</v>
      </c>
      <c r="CY14">
        <f t="shared" si="19"/>
        <v>402</v>
      </c>
      <c r="CZ14">
        <f t="shared" si="19"/>
        <v>402</v>
      </c>
      <c r="DA14">
        <f t="shared" si="19"/>
        <v>402</v>
      </c>
      <c r="DB14">
        <f t="shared" si="19"/>
        <v>402</v>
      </c>
      <c r="DC14">
        <f t="shared" si="19"/>
        <v>402</v>
      </c>
      <c r="DD14">
        <f t="shared" si="19"/>
        <v>402</v>
      </c>
      <c r="DE14">
        <f t="shared" si="19"/>
        <v>402</v>
      </c>
      <c r="DF14">
        <f t="shared" si="19"/>
        <v>402</v>
      </c>
      <c r="DG14">
        <f t="shared" si="19"/>
        <v>402</v>
      </c>
      <c r="DI14">
        <f t="shared" si="4"/>
        <v>59</v>
      </c>
      <c r="DJ14">
        <f t="shared" si="5"/>
        <v>198</v>
      </c>
      <c r="DK14">
        <f t="shared" si="6"/>
        <v>104</v>
      </c>
      <c r="DL14">
        <f t="shared" si="7"/>
        <v>176</v>
      </c>
      <c r="DM14">
        <f t="shared" si="8"/>
        <v>167</v>
      </c>
      <c r="DN14">
        <f t="shared" si="9"/>
        <v>398</v>
      </c>
      <c r="DO14">
        <f t="shared" si="10"/>
        <v>76</v>
      </c>
      <c r="DP14">
        <f t="shared" si="11"/>
        <v>228</v>
      </c>
      <c r="DQ14">
        <f t="shared" si="12"/>
        <v>49</v>
      </c>
      <c r="DR14">
        <f t="shared" si="13"/>
        <v>107</v>
      </c>
      <c r="DS14" s="1">
        <f t="shared" si="14"/>
        <v>1562</v>
      </c>
      <c r="DZ14">
        <f>ABS(CX14-CX$5)/MAX($B$5:$CW$5)</f>
        <v>0.12343096234309624</v>
      </c>
      <c r="EA14">
        <f t="shared" ref="EA14:EI14" si="20">ABS(CY14-CY$5)/MAX($B$5:$CW$5)</f>
        <v>0.41422594142259417</v>
      </c>
      <c r="EB14">
        <f t="shared" si="20"/>
        <v>0.21757322175732219</v>
      </c>
      <c r="EC14">
        <f t="shared" si="20"/>
        <v>0.3682008368200837</v>
      </c>
      <c r="ED14">
        <f t="shared" si="20"/>
        <v>0.34937238493723849</v>
      </c>
      <c r="EE14">
        <f t="shared" si="20"/>
        <v>0.83263598326359833</v>
      </c>
      <c r="EF14">
        <f t="shared" si="20"/>
        <v>0.15899581589958159</v>
      </c>
      <c r="EG14">
        <f t="shared" si="20"/>
        <v>0.47698744769874479</v>
      </c>
      <c r="EH14">
        <f t="shared" si="20"/>
        <v>0.10251046025104603</v>
      </c>
      <c r="EI14">
        <f t="shared" si="20"/>
        <v>0.22384937238493724</v>
      </c>
      <c r="EJ14" s="1">
        <f t="shared" si="16"/>
        <v>3.2677824267782429</v>
      </c>
    </row>
    <row r="15" spans="1:140" x14ac:dyDescent="0.35">
      <c r="A15" t="s">
        <v>115</v>
      </c>
      <c r="B15">
        <v>779</v>
      </c>
      <c r="C15">
        <v>532</v>
      </c>
      <c r="D15">
        <v>86</v>
      </c>
      <c r="E15">
        <v>290</v>
      </c>
      <c r="F15">
        <v>534</v>
      </c>
      <c r="G15">
        <v>505</v>
      </c>
      <c r="H15">
        <v>249</v>
      </c>
      <c r="I15">
        <v>503</v>
      </c>
      <c r="J15">
        <v>991</v>
      </c>
      <c r="K15">
        <v>705</v>
      </c>
      <c r="L15">
        <v>357</v>
      </c>
      <c r="M15">
        <v>112</v>
      </c>
      <c r="N15">
        <v>927</v>
      </c>
      <c r="O15">
        <v>582</v>
      </c>
      <c r="P15">
        <v>746</v>
      </c>
      <c r="Q15">
        <v>677</v>
      </c>
      <c r="R15">
        <v>405</v>
      </c>
      <c r="S15">
        <v>758</v>
      </c>
      <c r="T15">
        <v>412</v>
      </c>
      <c r="U15">
        <v>890</v>
      </c>
      <c r="V15">
        <v>944</v>
      </c>
      <c r="W15">
        <v>818</v>
      </c>
      <c r="X15">
        <v>293</v>
      </c>
      <c r="Y15">
        <v>575</v>
      </c>
      <c r="Z15">
        <v>10</v>
      </c>
      <c r="AA15">
        <v>294</v>
      </c>
      <c r="AB15">
        <v>593</v>
      </c>
      <c r="AC15">
        <v>380</v>
      </c>
      <c r="AD15">
        <v>133</v>
      </c>
      <c r="AE15">
        <v>886</v>
      </c>
      <c r="AF15">
        <v>956</v>
      </c>
      <c r="AG15">
        <v>886</v>
      </c>
      <c r="AH15">
        <v>506</v>
      </c>
      <c r="AI15">
        <v>581</v>
      </c>
      <c r="AJ15">
        <v>558</v>
      </c>
      <c r="AK15">
        <v>879</v>
      </c>
      <c r="AL15">
        <v>322</v>
      </c>
      <c r="AM15">
        <v>613</v>
      </c>
      <c r="AN15">
        <v>613</v>
      </c>
      <c r="AO15">
        <v>888</v>
      </c>
      <c r="AP15">
        <v>592</v>
      </c>
      <c r="AQ15">
        <v>192</v>
      </c>
      <c r="AR15">
        <v>249</v>
      </c>
      <c r="AS15">
        <v>293</v>
      </c>
      <c r="AT15">
        <v>283</v>
      </c>
      <c r="AU15">
        <v>156</v>
      </c>
      <c r="AV15">
        <v>336</v>
      </c>
      <c r="AW15">
        <v>192</v>
      </c>
      <c r="AX15">
        <v>226</v>
      </c>
      <c r="AY15">
        <v>634</v>
      </c>
      <c r="AZ15">
        <v>713</v>
      </c>
      <c r="BA15">
        <v>961</v>
      </c>
      <c r="BB15">
        <v>41</v>
      </c>
      <c r="BC15">
        <v>988</v>
      </c>
      <c r="BD15">
        <v>628</v>
      </c>
      <c r="BE15">
        <v>286</v>
      </c>
      <c r="BF15">
        <v>90</v>
      </c>
      <c r="BG15">
        <v>350</v>
      </c>
      <c r="BH15">
        <v>312</v>
      </c>
      <c r="BI15">
        <v>127</v>
      </c>
      <c r="BJ15">
        <v>862</v>
      </c>
      <c r="BK15">
        <v>433</v>
      </c>
      <c r="BL15">
        <v>311</v>
      </c>
      <c r="BM15">
        <v>795</v>
      </c>
      <c r="BN15">
        <v>94</v>
      </c>
      <c r="BO15">
        <v>249</v>
      </c>
      <c r="BP15">
        <v>293</v>
      </c>
      <c r="BQ15">
        <v>825</v>
      </c>
      <c r="BR15">
        <v>986</v>
      </c>
      <c r="BS15">
        <v>360</v>
      </c>
      <c r="BT15">
        <v>590</v>
      </c>
      <c r="BU15">
        <v>435</v>
      </c>
      <c r="BV15">
        <v>713</v>
      </c>
      <c r="BW15">
        <v>40</v>
      </c>
      <c r="BX15">
        <v>881</v>
      </c>
      <c r="BY15">
        <v>942</v>
      </c>
      <c r="BZ15">
        <v>910</v>
      </c>
      <c r="CA15">
        <v>663</v>
      </c>
      <c r="CB15">
        <v>815</v>
      </c>
      <c r="CC15">
        <v>523</v>
      </c>
      <c r="CD15">
        <v>901</v>
      </c>
      <c r="CE15">
        <v>500</v>
      </c>
      <c r="CF15">
        <v>637</v>
      </c>
      <c r="CG15">
        <v>972</v>
      </c>
      <c r="CH15">
        <v>294</v>
      </c>
      <c r="CI15">
        <v>815</v>
      </c>
      <c r="CJ15">
        <v>860</v>
      </c>
      <c r="CK15">
        <v>736</v>
      </c>
      <c r="CL15">
        <v>929</v>
      </c>
      <c r="CM15">
        <v>650</v>
      </c>
      <c r="CN15">
        <v>396</v>
      </c>
      <c r="CO15">
        <v>541</v>
      </c>
      <c r="CP15">
        <v>471</v>
      </c>
      <c r="CQ15">
        <v>370</v>
      </c>
      <c r="CR15">
        <v>727</v>
      </c>
      <c r="CS15">
        <v>639</v>
      </c>
      <c r="CT15">
        <v>626</v>
      </c>
      <c r="CU15">
        <v>955</v>
      </c>
      <c r="CV15">
        <v>31</v>
      </c>
      <c r="CW15">
        <v>250</v>
      </c>
      <c r="CX15" s="2">
        <f t="shared" ref="CX15:DG15" si="21">CW15</f>
        <v>250</v>
      </c>
      <c r="CY15">
        <f t="shared" si="21"/>
        <v>250</v>
      </c>
      <c r="CZ15">
        <f t="shared" si="21"/>
        <v>250</v>
      </c>
      <c r="DA15">
        <f t="shared" si="21"/>
        <v>250</v>
      </c>
      <c r="DB15">
        <f t="shared" si="21"/>
        <v>250</v>
      </c>
      <c r="DC15">
        <f t="shared" si="21"/>
        <v>250</v>
      </c>
      <c r="DD15">
        <f t="shared" si="21"/>
        <v>250</v>
      </c>
      <c r="DE15">
        <f t="shared" si="21"/>
        <v>250</v>
      </c>
      <c r="DF15">
        <f t="shared" si="21"/>
        <v>250</v>
      </c>
      <c r="DG15">
        <f t="shared" si="21"/>
        <v>250</v>
      </c>
      <c r="DI15">
        <f t="shared" si="4"/>
        <v>661</v>
      </c>
      <c r="DJ15">
        <f t="shared" si="5"/>
        <v>438</v>
      </c>
      <c r="DK15">
        <f t="shared" si="6"/>
        <v>427</v>
      </c>
      <c r="DL15">
        <f t="shared" si="7"/>
        <v>538</v>
      </c>
      <c r="DM15">
        <f t="shared" si="8"/>
        <v>400</v>
      </c>
      <c r="DN15">
        <f t="shared" si="9"/>
        <v>484</v>
      </c>
      <c r="DO15">
        <f t="shared" si="10"/>
        <v>293</v>
      </c>
      <c r="DP15">
        <f t="shared" si="11"/>
        <v>87</v>
      </c>
      <c r="DQ15">
        <f t="shared" si="12"/>
        <v>264</v>
      </c>
      <c r="DR15">
        <f t="shared" si="13"/>
        <v>124</v>
      </c>
      <c r="DS15" s="1">
        <f t="shared" si="14"/>
        <v>3716</v>
      </c>
      <c r="DZ15">
        <f>ABS(CX15-CX$6)/MAX($B$6:$CW$6)</f>
        <v>0.66700302724520688</v>
      </c>
      <c r="EA15">
        <f t="shared" ref="EA15:EI15" si="22">ABS(CY15-CY$6)/MAX($B$6:$CW$6)</f>
        <v>0.44197780020181637</v>
      </c>
      <c r="EB15">
        <f t="shared" si="22"/>
        <v>0.43087790110998991</v>
      </c>
      <c r="EC15">
        <f t="shared" si="22"/>
        <v>0.54288597376387482</v>
      </c>
      <c r="ED15">
        <f t="shared" si="22"/>
        <v>0.40363269424823411</v>
      </c>
      <c r="EE15">
        <f t="shared" si="22"/>
        <v>0.48839556004036327</v>
      </c>
      <c r="EF15">
        <f t="shared" si="22"/>
        <v>0.2956609485368315</v>
      </c>
      <c r="EG15">
        <f t="shared" si="22"/>
        <v>8.7790110998990922E-2</v>
      </c>
      <c r="EH15">
        <f t="shared" si="22"/>
        <v>0.26639757820383453</v>
      </c>
      <c r="EI15">
        <f t="shared" si="22"/>
        <v>0.12512613521695257</v>
      </c>
      <c r="EJ15" s="1">
        <f t="shared" si="16"/>
        <v>3.7497477295660948</v>
      </c>
    </row>
    <row r="18" spans="1:140" x14ac:dyDescent="0.35">
      <c r="CX18" s="2" t="s">
        <v>116</v>
      </c>
    </row>
    <row r="19" spans="1:140" x14ac:dyDescent="0.3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10</v>
      </c>
      <c r="L19" t="s">
        <v>11</v>
      </c>
      <c r="M19" t="s">
        <v>12</v>
      </c>
      <c r="N19" t="s">
        <v>13</v>
      </c>
      <c r="O19" t="s">
        <v>14</v>
      </c>
      <c r="P19" t="s">
        <v>15</v>
      </c>
      <c r="Q19" t="s">
        <v>16</v>
      </c>
      <c r="R19" t="s">
        <v>17</v>
      </c>
      <c r="S19" t="s">
        <v>18</v>
      </c>
      <c r="T19" t="s">
        <v>19</v>
      </c>
      <c r="U19" t="s">
        <v>20</v>
      </c>
      <c r="V19" t="s">
        <v>21</v>
      </c>
      <c r="W19" t="s">
        <v>22</v>
      </c>
      <c r="X19" t="s">
        <v>23</v>
      </c>
      <c r="Y19" t="s">
        <v>24</v>
      </c>
      <c r="Z19" t="s">
        <v>25</v>
      </c>
      <c r="AA19" t="s">
        <v>26</v>
      </c>
      <c r="AB19" t="s">
        <v>27</v>
      </c>
      <c r="AC19" t="s">
        <v>28</v>
      </c>
      <c r="AD19" t="s">
        <v>29</v>
      </c>
      <c r="AE19" t="s">
        <v>30</v>
      </c>
      <c r="AF19" t="s">
        <v>31</v>
      </c>
      <c r="AG19" t="s">
        <v>32</v>
      </c>
      <c r="AH19" t="s">
        <v>33</v>
      </c>
      <c r="AI19" t="s">
        <v>34</v>
      </c>
      <c r="AJ19" t="s">
        <v>35</v>
      </c>
      <c r="AK19" t="s">
        <v>36</v>
      </c>
      <c r="AL19" t="s">
        <v>37</v>
      </c>
      <c r="AM19" t="s">
        <v>38</v>
      </c>
      <c r="AN19" t="s">
        <v>39</v>
      </c>
      <c r="AO19" t="s">
        <v>40</v>
      </c>
      <c r="AP19" t="s">
        <v>41</v>
      </c>
      <c r="AQ19" t="s">
        <v>42</v>
      </c>
      <c r="AR19" t="s">
        <v>43</v>
      </c>
      <c r="AS19" t="s">
        <v>44</v>
      </c>
      <c r="AT19" t="s">
        <v>45</v>
      </c>
      <c r="AU19" t="s">
        <v>46</v>
      </c>
      <c r="AV19" t="s">
        <v>47</v>
      </c>
      <c r="AW19" t="s">
        <v>48</v>
      </c>
      <c r="AX19" t="s">
        <v>49</v>
      </c>
      <c r="AY19" t="s">
        <v>50</v>
      </c>
      <c r="AZ19" t="s">
        <v>51</v>
      </c>
      <c r="BA19" t="s">
        <v>52</v>
      </c>
      <c r="BB19" t="s">
        <v>53</v>
      </c>
      <c r="BC19" t="s">
        <v>54</v>
      </c>
      <c r="BD19" t="s">
        <v>55</v>
      </c>
      <c r="BE19" t="s">
        <v>56</v>
      </c>
      <c r="BF19" t="s">
        <v>57</v>
      </c>
      <c r="BG19" t="s">
        <v>58</v>
      </c>
      <c r="BH19" t="s">
        <v>59</v>
      </c>
      <c r="BI19" t="s">
        <v>60</v>
      </c>
      <c r="BJ19" t="s">
        <v>61</v>
      </c>
      <c r="BK19" t="s">
        <v>62</v>
      </c>
      <c r="BL19" t="s">
        <v>63</v>
      </c>
      <c r="BM19" t="s">
        <v>64</v>
      </c>
      <c r="BN19" t="s">
        <v>65</v>
      </c>
      <c r="BO19" t="s">
        <v>66</v>
      </c>
      <c r="BP19" t="s">
        <v>67</v>
      </c>
      <c r="BQ19" t="s">
        <v>68</v>
      </c>
      <c r="BR19" t="s">
        <v>69</v>
      </c>
      <c r="BS19" t="s">
        <v>70</v>
      </c>
      <c r="BT19" t="s">
        <v>71</v>
      </c>
      <c r="BU19" t="s">
        <v>72</v>
      </c>
      <c r="BV19" t="s">
        <v>73</v>
      </c>
      <c r="BW19" t="s">
        <v>74</v>
      </c>
      <c r="BX19" t="s">
        <v>75</v>
      </c>
      <c r="BY19" t="s">
        <v>76</v>
      </c>
      <c r="BZ19" t="s">
        <v>77</v>
      </c>
      <c r="CA19" t="s">
        <v>78</v>
      </c>
      <c r="CB19" t="s">
        <v>79</v>
      </c>
      <c r="CC19" t="s">
        <v>80</v>
      </c>
      <c r="CD19" t="s">
        <v>81</v>
      </c>
      <c r="CE19" t="s">
        <v>82</v>
      </c>
      <c r="CF19" t="s">
        <v>83</v>
      </c>
      <c r="CG19" t="s">
        <v>84</v>
      </c>
      <c r="CH19" t="s">
        <v>85</v>
      </c>
      <c r="CI19" t="s">
        <v>86</v>
      </c>
      <c r="CJ19" t="s">
        <v>87</v>
      </c>
      <c r="CK19" t="s">
        <v>88</v>
      </c>
      <c r="CL19" t="s">
        <v>89</v>
      </c>
      <c r="CM19" t="s">
        <v>90</v>
      </c>
      <c r="CN19" t="s">
        <v>91</v>
      </c>
      <c r="CO19" t="s">
        <v>92</v>
      </c>
      <c r="CP19" t="s">
        <v>93</v>
      </c>
      <c r="CQ19" t="s">
        <v>94</v>
      </c>
      <c r="CR19" t="s">
        <v>95</v>
      </c>
      <c r="CS19" t="s">
        <v>96</v>
      </c>
      <c r="CT19" t="s">
        <v>97</v>
      </c>
      <c r="CU19" t="s">
        <v>98</v>
      </c>
      <c r="CV19" t="s">
        <v>99</v>
      </c>
      <c r="CW19" t="s">
        <v>100</v>
      </c>
      <c r="CX19" s="2" t="s">
        <v>101</v>
      </c>
      <c r="CY19" t="s">
        <v>102</v>
      </c>
      <c r="CZ19" t="s">
        <v>103</v>
      </c>
      <c r="DA19" t="s">
        <v>104</v>
      </c>
      <c r="DB19" t="s">
        <v>105</v>
      </c>
      <c r="DC19" t="s">
        <v>106</v>
      </c>
      <c r="DD19" t="s">
        <v>107</v>
      </c>
      <c r="DE19" t="s">
        <v>108</v>
      </c>
      <c r="DF19" t="s">
        <v>109</v>
      </c>
      <c r="DG19" t="s">
        <v>110</v>
      </c>
      <c r="DH19" t="s">
        <v>119</v>
      </c>
      <c r="DI19" t="s">
        <v>101</v>
      </c>
      <c r="DJ19" t="s">
        <v>102</v>
      </c>
      <c r="DK19" t="s">
        <v>103</v>
      </c>
      <c r="DL19" t="s">
        <v>104</v>
      </c>
      <c r="DM19" t="s">
        <v>105</v>
      </c>
      <c r="DN19" t="s">
        <v>106</v>
      </c>
      <c r="DO19" t="s">
        <v>107</v>
      </c>
      <c r="DP19" t="s">
        <v>108</v>
      </c>
      <c r="DQ19" t="s">
        <v>109</v>
      </c>
      <c r="DR19" t="s">
        <v>110</v>
      </c>
      <c r="DS19" s="1" t="s">
        <v>120</v>
      </c>
      <c r="DU19" t="s">
        <v>121</v>
      </c>
      <c r="DZ19" t="s">
        <v>101</v>
      </c>
      <c r="EA19" t="s">
        <v>102</v>
      </c>
      <c r="EB19" t="s">
        <v>103</v>
      </c>
      <c r="EC19" t="s">
        <v>104</v>
      </c>
      <c r="ED19" t="s">
        <v>105</v>
      </c>
      <c r="EE19" t="s">
        <v>106</v>
      </c>
      <c r="EF19" t="s">
        <v>107</v>
      </c>
      <c r="EG19" t="s">
        <v>108</v>
      </c>
      <c r="EH19" t="s">
        <v>109</v>
      </c>
      <c r="EI19" t="s">
        <v>110</v>
      </c>
      <c r="EJ19" s="1" t="s">
        <v>120</v>
      </c>
    </row>
    <row r="20" spans="1:140" x14ac:dyDescent="0.35">
      <c r="A20" t="s">
        <v>111</v>
      </c>
      <c r="B20">
        <v>3</v>
      </c>
      <c r="C20">
        <v>12</v>
      </c>
      <c r="D20">
        <v>41</v>
      </c>
      <c r="E20">
        <v>2</v>
      </c>
      <c r="F20">
        <v>31</v>
      </c>
      <c r="G20">
        <v>2</v>
      </c>
      <c r="H20">
        <v>43</v>
      </c>
      <c r="I20">
        <v>43</v>
      </c>
      <c r="J20">
        <v>22</v>
      </c>
      <c r="K20">
        <v>32</v>
      </c>
      <c r="L20">
        <v>3</v>
      </c>
      <c r="M20">
        <v>12</v>
      </c>
      <c r="N20">
        <v>41</v>
      </c>
      <c r="O20">
        <v>2</v>
      </c>
      <c r="P20">
        <v>31</v>
      </c>
      <c r="Q20">
        <v>2</v>
      </c>
      <c r="R20">
        <v>43</v>
      </c>
      <c r="S20">
        <v>43</v>
      </c>
      <c r="T20">
        <v>22</v>
      </c>
      <c r="U20">
        <v>32</v>
      </c>
      <c r="V20">
        <v>3</v>
      </c>
      <c r="W20">
        <v>12</v>
      </c>
      <c r="X20">
        <v>41</v>
      </c>
      <c r="Y20">
        <v>2</v>
      </c>
      <c r="Z20">
        <v>31</v>
      </c>
      <c r="AA20">
        <v>2</v>
      </c>
      <c r="AB20">
        <v>43</v>
      </c>
      <c r="AC20">
        <v>43</v>
      </c>
      <c r="AD20">
        <v>22</v>
      </c>
      <c r="AE20">
        <v>32</v>
      </c>
      <c r="AF20">
        <v>3</v>
      </c>
      <c r="AG20">
        <v>12</v>
      </c>
      <c r="AH20">
        <v>41</v>
      </c>
      <c r="AI20">
        <v>2</v>
      </c>
      <c r="AJ20">
        <v>31</v>
      </c>
      <c r="AK20">
        <v>2</v>
      </c>
      <c r="AL20">
        <v>43</v>
      </c>
      <c r="AM20">
        <v>43</v>
      </c>
      <c r="AN20">
        <v>22</v>
      </c>
      <c r="AO20">
        <v>32</v>
      </c>
      <c r="AP20">
        <v>3</v>
      </c>
      <c r="AQ20">
        <v>12</v>
      </c>
      <c r="AR20">
        <v>41</v>
      </c>
      <c r="AS20">
        <v>2</v>
      </c>
      <c r="AT20">
        <v>31</v>
      </c>
      <c r="AU20">
        <v>2</v>
      </c>
      <c r="AV20">
        <v>43</v>
      </c>
      <c r="AW20">
        <v>43</v>
      </c>
      <c r="AX20">
        <v>22</v>
      </c>
      <c r="AY20">
        <v>32</v>
      </c>
      <c r="AZ20">
        <v>3</v>
      </c>
      <c r="BA20">
        <v>12</v>
      </c>
      <c r="BB20">
        <v>41</v>
      </c>
      <c r="BC20">
        <v>2</v>
      </c>
      <c r="BD20">
        <v>31</v>
      </c>
      <c r="BE20">
        <v>2</v>
      </c>
      <c r="BF20">
        <v>43</v>
      </c>
      <c r="BG20">
        <v>43</v>
      </c>
      <c r="BH20">
        <v>22</v>
      </c>
      <c r="BI20">
        <v>32</v>
      </c>
      <c r="BJ20">
        <v>3</v>
      </c>
      <c r="BK20">
        <v>12</v>
      </c>
      <c r="BL20">
        <v>41</v>
      </c>
      <c r="BM20">
        <v>2</v>
      </c>
      <c r="BN20">
        <v>31</v>
      </c>
      <c r="BO20">
        <v>2</v>
      </c>
      <c r="BP20">
        <v>43</v>
      </c>
      <c r="BQ20">
        <v>43</v>
      </c>
      <c r="BR20">
        <v>22</v>
      </c>
      <c r="BS20">
        <v>32</v>
      </c>
      <c r="BT20">
        <v>3</v>
      </c>
      <c r="BU20">
        <v>12</v>
      </c>
      <c r="BV20">
        <v>41</v>
      </c>
      <c r="BW20">
        <v>2</v>
      </c>
      <c r="BX20">
        <v>31</v>
      </c>
      <c r="BY20">
        <v>2</v>
      </c>
      <c r="BZ20">
        <v>43</v>
      </c>
      <c r="CA20">
        <v>43</v>
      </c>
      <c r="CB20">
        <v>22</v>
      </c>
      <c r="CC20">
        <v>32</v>
      </c>
      <c r="CD20">
        <v>3</v>
      </c>
      <c r="CE20">
        <v>12</v>
      </c>
      <c r="CF20">
        <v>41</v>
      </c>
      <c r="CG20">
        <v>2</v>
      </c>
      <c r="CH20">
        <v>31</v>
      </c>
      <c r="CI20">
        <v>2</v>
      </c>
      <c r="CJ20">
        <v>43</v>
      </c>
      <c r="CK20">
        <v>43</v>
      </c>
      <c r="CL20">
        <v>22</v>
      </c>
      <c r="CM20">
        <v>32</v>
      </c>
      <c r="CN20">
        <v>3</v>
      </c>
      <c r="CO20">
        <v>12</v>
      </c>
      <c r="CP20">
        <v>41</v>
      </c>
      <c r="CQ20">
        <v>2</v>
      </c>
      <c r="CR20">
        <v>31</v>
      </c>
      <c r="CS20">
        <v>2</v>
      </c>
      <c r="CT20">
        <v>43</v>
      </c>
      <c r="CU20">
        <v>43</v>
      </c>
      <c r="CV20">
        <v>22</v>
      </c>
      <c r="CW20">
        <v>32</v>
      </c>
      <c r="CX20" s="2">
        <f>AVERAGE(CO20:CW20)</f>
        <v>25.333333333333332</v>
      </c>
      <c r="CY20">
        <f t="shared" ref="CY20:DG20" si="23">AVERAGE(CQ20:CX20)</f>
        <v>25.041666666666668</v>
      </c>
      <c r="CZ20">
        <f t="shared" si="23"/>
        <v>27.921875</v>
      </c>
      <c r="DA20">
        <f t="shared" si="23"/>
        <v>27.537109375</v>
      </c>
      <c r="DB20">
        <f t="shared" si="23"/>
        <v>30.729248046875</v>
      </c>
      <c r="DC20">
        <f t="shared" si="23"/>
        <v>29.195404052734375</v>
      </c>
      <c r="DD20">
        <f t="shared" si="23"/>
        <v>27.469829559326172</v>
      </c>
      <c r="DE20">
        <f t="shared" si="23"/>
        <v>28.153558254241943</v>
      </c>
      <c r="DF20">
        <f t="shared" si="23"/>
        <v>27.672753036022186</v>
      </c>
      <c r="DG20">
        <f t="shared" si="23"/>
        <v>27.965180498858295</v>
      </c>
      <c r="DI20">
        <f>ABS(CX20-CX2)</f>
        <v>22.333333333333332</v>
      </c>
      <c r="DJ20">
        <f t="shared" ref="DJ20:DR20" si="24">ABS(CY20-CY2)</f>
        <v>13.041666666666668</v>
      </c>
      <c r="DK20">
        <f t="shared" si="24"/>
        <v>13.078125</v>
      </c>
      <c r="DL20">
        <f t="shared" si="24"/>
        <v>25.537109375</v>
      </c>
      <c r="DM20">
        <f t="shared" si="24"/>
        <v>0.270751953125</v>
      </c>
      <c r="DN20">
        <f t="shared" si="24"/>
        <v>27.195404052734375</v>
      </c>
      <c r="DO20">
        <f t="shared" si="24"/>
        <v>15.530170440673828</v>
      </c>
      <c r="DP20">
        <f t="shared" si="24"/>
        <v>14.846441745758057</v>
      </c>
      <c r="DQ20">
        <f t="shared" si="24"/>
        <v>5.6727530360221863</v>
      </c>
      <c r="DR20">
        <f t="shared" si="24"/>
        <v>4.0348195011417047</v>
      </c>
      <c r="DS20" s="1">
        <f>SUM(DI20:DR20)</f>
        <v>141.54057510445514</v>
      </c>
      <c r="DU20">
        <v>9</v>
      </c>
      <c r="DZ20">
        <f>ABS(CX20-CX$2)/MAX($B$2:$CW$2)</f>
        <v>0.51937984496124023</v>
      </c>
      <c r="EA20">
        <f t="shared" ref="EA20" si="25">ABS(CY20-CY$2)/MAX($B$2:$CW$2)</f>
        <v>0.30329457364341089</v>
      </c>
      <c r="EB20">
        <f t="shared" ref="EB20" si="26">ABS(CZ20-CZ$2)/MAX($B$2:$CW$2)</f>
        <v>0.30414244186046513</v>
      </c>
      <c r="EC20">
        <f t="shared" ref="EC20" si="27">ABS(DA20-DA$2)/MAX($B$2:$CW$2)</f>
        <v>0.59388626453488369</v>
      </c>
      <c r="ED20">
        <f t="shared" ref="ED20" si="28">ABS(DB20-DB$2)/MAX($B$2:$CW$2)</f>
        <v>6.296557049418605E-3</v>
      </c>
      <c r="EE20">
        <f t="shared" ref="EE20" si="29">ABS(DC20-DC$2)/MAX($B$2:$CW$2)</f>
        <v>0.63245125704033434</v>
      </c>
      <c r="EF20">
        <f t="shared" ref="EF20" si="30">ABS(DD20-DD$2)/MAX($B$2:$CW$2)</f>
        <v>0.36116675443427509</v>
      </c>
      <c r="EG20">
        <f t="shared" ref="EG20" si="31">ABS(DE20-DE$2)/MAX($B$2:$CW$2)</f>
        <v>0.34526608711065249</v>
      </c>
      <c r="EH20">
        <f t="shared" ref="EH20" si="32">ABS(DF20-DF$2)/MAX($B$2:$CW$2)</f>
        <v>0.13192448920981828</v>
      </c>
      <c r="EI20">
        <f t="shared" ref="EI20" si="33">ABS(DG20-DG$2)/MAX($B$2:$CW$2)</f>
        <v>9.3833011654458245E-2</v>
      </c>
      <c r="EJ20" s="1">
        <f>SUM(DZ20:EI20)</f>
        <v>3.2916412814989569</v>
      </c>
    </row>
    <row r="21" spans="1:140" x14ac:dyDescent="0.35">
      <c r="A21" t="s">
        <v>112</v>
      </c>
      <c r="B21">
        <v>0</v>
      </c>
      <c r="C21">
        <v>0</v>
      </c>
      <c r="D21">
        <v>112</v>
      </c>
      <c r="E21">
        <v>2</v>
      </c>
      <c r="F21">
        <v>100</v>
      </c>
      <c r="G21">
        <v>33</v>
      </c>
      <c r="H21">
        <v>55</v>
      </c>
      <c r="I21">
        <v>53</v>
      </c>
      <c r="J21">
        <v>23</v>
      </c>
      <c r="K21">
        <v>12</v>
      </c>
      <c r="L21">
        <v>0</v>
      </c>
      <c r="M21">
        <v>0</v>
      </c>
      <c r="N21">
        <v>112</v>
      </c>
      <c r="O21">
        <v>2</v>
      </c>
      <c r="P21">
        <v>100</v>
      </c>
      <c r="Q21">
        <v>33</v>
      </c>
      <c r="R21">
        <v>55</v>
      </c>
      <c r="S21">
        <v>53</v>
      </c>
      <c r="T21">
        <v>23</v>
      </c>
      <c r="U21">
        <v>12</v>
      </c>
      <c r="V21">
        <v>0</v>
      </c>
      <c r="W21">
        <v>0</v>
      </c>
      <c r="X21">
        <v>112</v>
      </c>
      <c r="Y21">
        <v>2</v>
      </c>
      <c r="Z21">
        <v>100</v>
      </c>
      <c r="AA21">
        <v>33</v>
      </c>
      <c r="AB21">
        <v>55</v>
      </c>
      <c r="AC21">
        <v>53</v>
      </c>
      <c r="AD21">
        <v>23</v>
      </c>
      <c r="AE21">
        <v>12</v>
      </c>
      <c r="AF21">
        <v>0</v>
      </c>
      <c r="AG21">
        <v>0</v>
      </c>
      <c r="AH21">
        <v>112</v>
      </c>
      <c r="AI21">
        <v>2</v>
      </c>
      <c r="AJ21">
        <v>100</v>
      </c>
      <c r="AK21">
        <v>33</v>
      </c>
      <c r="AL21">
        <v>55</v>
      </c>
      <c r="AM21">
        <v>53</v>
      </c>
      <c r="AN21">
        <v>23</v>
      </c>
      <c r="AO21">
        <v>12</v>
      </c>
      <c r="AP21">
        <v>0</v>
      </c>
      <c r="AQ21">
        <v>0</v>
      </c>
      <c r="AR21">
        <v>112</v>
      </c>
      <c r="AS21">
        <v>2</v>
      </c>
      <c r="AT21">
        <v>100</v>
      </c>
      <c r="AU21">
        <v>33</v>
      </c>
      <c r="AV21">
        <v>55</v>
      </c>
      <c r="AW21">
        <v>53</v>
      </c>
      <c r="AX21">
        <v>23</v>
      </c>
      <c r="AY21">
        <v>12</v>
      </c>
      <c r="AZ21">
        <v>0</v>
      </c>
      <c r="BA21">
        <v>0</v>
      </c>
      <c r="BB21">
        <v>112</v>
      </c>
      <c r="BC21">
        <v>2</v>
      </c>
      <c r="BD21">
        <v>100</v>
      </c>
      <c r="BE21">
        <v>33</v>
      </c>
      <c r="BF21">
        <v>55</v>
      </c>
      <c r="BG21">
        <v>53</v>
      </c>
      <c r="BH21">
        <v>23</v>
      </c>
      <c r="BI21">
        <v>12</v>
      </c>
      <c r="BJ21">
        <v>0</v>
      </c>
      <c r="BK21">
        <v>0</v>
      </c>
      <c r="BL21">
        <v>112</v>
      </c>
      <c r="BM21">
        <v>2</v>
      </c>
      <c r="BN21">
        <v>100</v>
      </c>
      <c r="BO21">
        <v>33</v>
      </c>
      <c r="BP21">
        <v>55</v>
      </c>
      <c r="BQ21">
        <v>53</v>
      </c>
      <c r="BR21">
        <v>23</v>
      </c>
      <c r="BS21">
        <v>12</v>
      </c>
      <c r="BT21">
        <v>0</v>
      </c>
      <c r="BU21">
        <v>0</v>
      </c>
      <c r="BV21">
        <v>112</v>
      </c>
      <c r="BW21">
        <v>2</v>
      </c>
      <c r="BX21">
        <v>100</v>
      </c>
      <c r="BY21">
        <v>33</v>
      </c>
      <c r="BZ21">
        <v>55</v>
      </c>
      <c r="CA21">
        <v>53</v>
      </c>
      <c r="CB21">
        <v>23</v>
      </c>
      <c r="CC21">
        <v>12</v>
      </c>
      <c r="CD21">
        <v>0</v>
      </c>
      <c r="CE21">
        <v>0</v>
      </c>
      <c r="CF21">
        <v>112</v>
      </c>
      <c r="CG21">
        <v>2</v>
      </c>
      <c r="CH21">
        <v>100</v>
      </c>
      <c r="CI21">
        <v>33</v>
      </c>
      <c r="CJ21">
        <v>55</v>
      </c>
      <c r="CK21">
        <v>53</v>
      </c>
      <c r="CL21">
        <v>23</v>
      </c>
      <c r="CM21">
        <v>12</v>
      </c>
      <c r="CN21">
        <v>0</v>
      </c>
      <c r="CO21">
        <v>0</v>
      </c>
      <c r="CP21">
        <v>112</v>
      </c>
      <c r="CQ21">
        <v>2</v>
      </c>
      <c r="CR21">
        <v>100</v>
      </c>
      <c r="CS21">
        <v>33</v>
      </c>
      <c r="CT21">
        <v>55</v>
      </c>
      <c r="CU21">
        <v>53</v>
      </c>
      <c r="CV21">
        <v>23</v>
      </c>
      <c r="CW21">
        <v>12</v>
      </c>
      <c r="CX21" s="2">
        <f>AVERAGE(CT21:CW21)</f>
        <v>35.75</v>
      </c>
      <c r="CY21">
        <f t="shared" ref="CY21:DG21" si="34">AVERAGE(CT21:CX21)</f>
        <v>35.75</v>
      </c>
      <c r="CZ21">
        <f t="shared" si="34"/>
        <v>31.9</v>
      </c>
      <c r="DA21">
        <f t="shared" si="34"/>
        <v>27.68</v>
      </c>
      <c r="DB21">
        <f t="shared" si="34"/>
        <v>28.616000000000003</v>
      </c>
      <c r="DC21">
        <f t="shared" si="34"/>
        <v>31.939200000000007</v>
      </c>
      <c r="DD21">
        <f t="shared" si="34"/>
        <v>31.177040000000005</v>
      </c>
      <c r="DE21">
        <f t="shared" si="34"/>
        <v>30.262447999999999</v>
      </c>
      <c r="DF21">
        <f t="shared" si="34"/>
        <v>29.934937600000005</v>
      </c>
      <c r="DG21">
        <f t="shared" si="34"/>
        <v>30.385925120000007</v>
      </c>
      <c r="DI21">
        <f>ABS(CX21-CX3)</f>
        <v>35.75</v>
      </c>
      <c r="DJ21">
        <f t="shared" ref="DJ21:DR24" si="35">ABS(CY21-CY3)</f>
        <v>35.75</v>
      </c>
      <c r="DK21">
        <f t="shared" si="35"/>
        <v>80.099999999999994</v>
      </c>
      <c r="DL21">
        <f t="shared" si="35"/>
        <v>25.68</v>
      </c>
      <c r="DM21">
        <f t="shared" si="35"/>
        <v>71.384</v>
      </c>
      <c r="DN21">
        <f t="shared" si="35"/>
        <v>1.0607999999999933</v>
      </c>
      <c r="DO21">
        <f t="shared" si="35"/>
        <v>23.822959999999995</v>
      </c>
      <c r="DP21">
        <f t="shared" si="35"/>
        <v>22.737552000000001</v>
      </c>
      <c r="DQ21">
        <f t="shared" si="35"/>
        <v>6.9349376000000049</v>
      </c>
      <c r="DR21">
        <f t="shared" si="35"/>
        <v>18.385925120000007</v>
      </c>
      <c r="DS21" s="1">
        <f t="shared" ref="DS21:DS52" si="36">SUM(DI21:DR21)</f>
        <v>321.60617472000001</v>
      </c>
      <c r="DU21">
        <v>4</v>
      </c>
      <c r="DZ21">
        <f>ABS(CX21-CX$3)/MAX($B$3:$CW$3)</f>
        <v>0.31919642857142855</v>
      </c>
      <c r="EA21">
        <f t="shared" ref="EA21" si="37">ABS(CY21-CY$3)/MAX($B$3:$CW$3)</f>
        <v>0.31919642857142855</v>
      </c>
      <c r="EB21">
        <f t="shared" ref="EB21" si="38">ABS(CZ21-CZ$3)/MAX($B$3:$CW$3)</f>
        <v>0.71517857142857133</v>
      </c>
      <c r="EC21">
        <f t="shared" ref="EC21" si="39">ABS(DA21-DA$3)/MAX($B$3:$CW$3)</f>
        <v>0.22928571428571429</v>
      </c>
      <c r="ED21">
        <f t="shared" ref="ED21" si="40">ABS(DB21-DB$3)/MAX($B$3:$CW$3)</f>
        <v>0.63735714285714284</v>
      </c>
      <c r="EE21">
        <f t="shared" ref="EE21" si="41">ABS(DC21-DC$3)/MAX($B$3:$CW$3)</f>
        <v>9.4714285714285109E-3</v>
      </c>
      <c r="EF21">
        <f t="shared" ref="EF21" si="42">ABS(DD21-DD$3)/MAX($B$3:$CW$3)</f>
        <v>0.21270499999999995</v>
      </c>
      <c r="EG21">
        <f t="shared" ref="EG21" si="43">ABS(DE21-DE$3)/MAX($B$3:$CW$3)</f>
        <v>0.20301385714285716</v>
      </c>
      <c r="EH21">
        <f t="shared" ref="EH21" si="44">ABS(DF21-DF$3)/MAX($B$3:$CW$3)</f>
        <v>6.1919085714285761E-2</v>
      </c>
      <c r="EI21">
        <f t="shared" ref="EI21" si="45">ABS(DG21-DG$3)/MAX($B$3:$CW$3)</f>
        <v>0.16416004571428577</v>
      </c>
      <c r="EJ21" s="1">
        <f t="shared" ref="EJ21:EJ24" si="46">SUM(DZ21:EI21)</f>
        <v>2.8714837028571427</v>
      </c>
    </row>
    <row r="22" spans="1:140" x14ac:dyDescent="0.35">
      <c r="A22" t="s">
        <v>113</v>
      </c>
      <c r="B22">
        <v>916</v>
      </c>
      <c r="C22">
        <v>939</v>
      </c>
      <c r="D22">
        <v>305</v>
      </c>
      <c r="E22">
        <v>952</v>
      </c>
      <c r="F22">
        <v>128</v>
      </c>
      <c r="G22">
        <v>81</v>
      </c>
      <c r="H22">
        <v>908</v>
      </c>
      <c r="I22">
        <v>744</v>
      </c>
      <c r="J22">
        <v>333</v>
      </c>
      <c r="K22">
        <v>862</v>
      </c>
      <c r="L22">
        <v>606</v>
      </c>
      <c r="M22">
        <v>352</v>
      </c>
      <c r="N22">
        <v>233</v>
      </c>
      <c r="O22">
        <v>502</v>
      </c>
      <c r="P22">
        <v>693</v>
      </c>
      <c r="Q22">
        <v>828</v>
      </c>
      <c r="R22">
        <v>189</v>
      </c>
      <c r="S22">
        <v>89</v>
      </c>
      <c r="T22">
        <v>705</v>
      </c>
      <c r="U22">
        <v>486</v>
      </c>
      <c r="V22">
        <v>142</v>
      </c>
      <c r="W22">
        <v>575</v>
      </c>
      <c r="X22">
        <v>972</v>
      </c>
      <c r="Y22">
        <v>222</v>
      </c>
      <c r="Z22">
        <v>593</v>
      </c>
      <c r="AA22">
        <v>259</v>
      </c>
      <c r="AB22">
        <v>492</v>
      </c>
      <c r="AC22">
        <v>227</v>
      </c>
      <c r="AD22">
        <v>195</v>
      </c>
      <c r="AE22">
        <v>374</v>
      </c>
      <c r="AF22">
        <v>539</v>
      </c>
      <c r="AG22">
        <v>2</v>
      </c>
      <c r="AH22">
        <v>865</v>
      </c>
      <c r="AI22">
        <v>308</v>
      </c>
      <c r="AJ22">
        <v>118</v>
      </c>
      <c r="AK22">
        <v>126</v>
      </c>
      <c r="AL22">
        <v>881</v>
      </c>
      <c r="AM22">
        <v>126</v>
      </c>
      <c r="AN22">
        <v>645</v>
      </c>
      <c r="AO22">
        <v>868</v>
      </c>
      <c r="AP22">
        <v>943</v>
      </c>
      <c r="AQ22">
        <v>483</v>
      </c>
      <c r="AR22">
        <v>701</v>
      </c>
      <c r="AS22">
        <v>190</v>
      </c>
      <c r="AT22">
        <v>251</v>
      </c>
      <c r="AU22">
        <v>872</v>
      </c>
      <c r="AV22">
        <v>905</v>
      </c>
      <c r="AW22">
        <v>632</v>
      </c>
      <c r="AX22">
        <v>842</v>
      </c>
      <c r="AY22">
        <v>42</v>
      </c>
      <c r="AZ22">
        <v>517</v>
      </c>
      <c r="BA22">
        <v>950</v>
      </c>
      <c r="BB22">
        <v>891</v>
      </c>
      <c r="BC22">
        <v>536</v>
      </c>
      <c r="BD22">
        <v>462</v>
      </c>
      <c r="BE22">
        <v>916</v>
      </c>
      <c r="BF22">
        <v>939</v>
      </c>
      <c r="BG22">
        <v>305</v>
      </c>
      <c r="BH22">
        <v>952</v>
      </c>
      <c r="BI22">
        <v>128</v>
      </c>
      <c r="BJ22">
        <v>81</v>
      </c>
      <c r="BK22">
        <v>908</v>
      </c>
      <c r="BL22">
        <v>744</v>
      </c>
      <c r="BM22">
        <v>333</v>
      </c>
      <c r="BN22">
        <v>862</v>
      </c>
      <c r="BO22">
        <v>606</v>
      </c>
      <c r="BP22">
        <v>352</v>
      </c>
      <c r="BQ22">
        <v>233</v>
      </c>
      <c r="BR22">
        <v>502</v>
      </c>
      <c r="BS22">
        <v>693</v>
      </c>
      <c r="BT22">
        <v>828</v>
      </c>
      <c r="BU22">
        <v>189</v>
      </c>
      <c r="BV22">
        <v>89</v>
      </c>
      <c r="BW22">
        <v>705</v>
      </c>
      <c r="BX22">
        <v>486</v>
      </c>
      <c r="BY22">
        <v>142</v>
      </c>
      <c r="BZ22">
        <v>575</v>
      </c>
      <c r="CA22">
        <v>972</v>
      </c>
      <c r="CB22">
        <v>222</v>
      </c>
      <c r="CC22">
        <v>593</v>
      </c>
      <c r="CD22">
        <v>259</v>
      </c>
      <c r="CE22">
        <v>492</v>
      </c>
      <c r="CF22">
        <v>227</v>
      </c>
      <c r="CG22">
        <v>195</v>
      </c>
      <c r="CH22">
        <v>374</v>
      </c>
      <c r="CI22">
        <v>539</v>
      </c>
      <c r="CJ22">
        <v>2</v>
      </c>
      <c r="CK22">
        <v>865</v>
      </c>
      <c r="CL22">
        <v>308</v>
      </c>
      <c r="CM22">
        <v>118</v>
      </c>
      <c r="CN22">
        <v>126</v>
      </c>
      <c r="CO22">
        <v>881</v>
      </c>
      <c r="CP22">
        <v>126</v>
      </c>
      <c r="CQ22">
        <v>645</v>
      </c>
      <c r="CR22">
        <v>868</v>
      </c>
      <c r="CS22">
        <v>943</v>
      </c>
      <c r="CT22">
        <v>483</v>
      </c>
      <c r="CU22">
        <v>701</v>
      </c>
      <c r="CV22">
        <v>190</v>
      </c>
      <c r="CW22">
        <v>251</v>
      </c>
      <c r="CX22" s="2">
        <f>AVERAGE(CT22:CW22)</f>
        <v>406.25</v>
      </c>
      <c r="CY22">
        <f t="shared" ref="CY22:DG22" si="47">AVERAGE(CU22:CX22)</f>
        <v>387.0625</v>
      </c>
      <c r="CZ22">
        <f t="shared" si="47"/>
        <v>308.578125</v>
      </c>
      <c r="DA22">
        <f t="shared" si="47"/>
        <v>338.22265625</v>
      </c>
      <c r="DB22">
        <f t="shared" si="47"/>
        <v>360.0283203125</v>
      </c>
      <c r="DC22">
        <f t="shared" si="47"/>
        <v>348.472900390625</v>
      </c>
      <c r="DD22">
        <f t="shared" si="47"/>
        <v>338.82550048828125</v>
      </c>
      <c r="DE22">
        <f t="shared" si="47"/>
        <v>346.38734436035156</v>
      </c>
      <c r="DF22">
        <f t="shared" si="47"/>
        <v>348.42851638793945</v>
      </c>
      <c r="DG22">
        <f t="shared" si="47"/>
        <v>345.52856540679932</v>
      </c>
      <c r="DI22">
        <f>ABS(CX22-CX4)</f>
        <v>465.75</v>
      </c>
      <c r="DJ22">
        <f t="shared" si="35"/>
        <v>517.9375</v>
      </c>
      <c r="DK22">
        <f t="shared" si="35"/>
        <v>323.421875</v>
      </c>
      <c r="DL22">
        <f t="shared" si="35"/>
        <v>503.77734375</v>
      </c>
      <c r="DM22">
        <f t="shared" si="35"/>
        <v>318.0283203125</v>
      </c>
      <c r="DN22">
        <f t="shared" si="35"/>
        <v>168.527099609375</v>
      </c>
      <c r="DO22">
        <f t="shared" si="35"/>
        <v>611.17449951171875</v>
      </c>
      <c r="DP22">
        <f t="shared" si="35"/>
        <v>544.61265563964844</v>
      </c>
      <c r="DQ22">
        <f t="shared" si="35"/>
        <v>187.57148361206055</v>
      </c>
      <c r="DR22">
        <f t="shared" si="35"/>
        <v>116.47143459320068</v>
      </c>
      <c r="DS22" s="1">
        <f t="shared" si="36"/>
        <v>3757.2722120285034</v>
      </c>
      <c r="DU22">
        <v>4</v>
      </c>
      <c r="DZ22">
        <f>ABS(CX22-CX$4)/MAX($B$4:$CW$4)</f>
        <v>0.47916666666666669</v>
      </c>
      <c r="EA22">
        <f t="shared" ref="EA22" si="48">ABS(CY22-CY$4)/MAX($B$4:$CW$4)</f>
        <v>0.53285751028806583</v>
      </c>
      <c r="EB22">
        <f t="shared" ref="EB22" si="49">ABS(CZ22-CZ$4)/MAX($B$4:$CW$4)</f>
        <v>0.332738554526749</v>
      </c>
      <c r="EC22">
        <f t="shared" ref="EC22" si="50">ABS(DA22-DA$4)/MAX($B$4:$CW$4)</f>
        <v>0.51828944830246915</v>
      </c>
      <c r="ED22">
        <f t="shared" ref="ED22" si="51">ABS(DB22-DB$4)/MAX($B$4:$CW$4)</f>
        <v>0.32718962995113171</v>
      </c>
      <c r="EE22">
        <f t="shared" ref="EE22" si="52">ABS(DC22-DC$4)/MAX($B$4:$CW$4)</f>
        <v>0.17338178972157922</v>
      </c>
      <c r="EF22">
        <f t="shared" ref="EF22" si="53">ABS(DD22-DD$4)/MAX($B$4:$CW$4)</f>
        <v>0.62878034929189175</v>
      </c>
      <c r="EG22">
        <f t="shared" ref="EG22" si="54">ABS(DE22-DE$4)/MAX($B$4:$CW$4)</f>
        <v>0.56030108604902107</v>
      </c>
      <c r="EH22">
        <f t="shared" ref="EH22" si="55">ABS(DF22-DF$4)/MAX($B$4:$CW$4)</f>
        <v>0.19297477737866311</v>
      </c>
      <c r="EI22">
        <f t="shared" ref="EI22" si="56">ABS(DG22-DG$4)/MAX($B$4:$CW$4)</f>
        <v>0.11982657879958918</v>
      </c>
      <c r="EJ22" s="1">
        <f t="shared" si="46"/>
        <v>3.8655063909758272</v>
      </c>
    </row>
    <row r="23" spans="1:140" x14ac:dyDescent="0.35">
      <c r="A23" t="s">
        <v>114</v>
      </c>
      <c r="B23">
        <v>77</v>
      </c>
      <c r="C23">
        <v>322</v>
      </c>
      <c r="D23">
        <v>260</v>
      </c>
      <c r="E23">
        <v>233</v>
      </c>
      <c r="F23">
        <v>284</v>
      </c>
      <c r="G23">
        <v>399</v>
      </c>
      <c r="H23">
        <v>370</v>
      </c>
      <c r="I23">
        <v>209</v>
      </c>
      <c r="J23">
        <v>368</v>
      </c>
      <c r="K23">
        <v>240</v>
      </c>
      <c r="L23">
        <v>350</v>
      </c>
      <c r="M23">
        <v>402</v>
      </c>
      <c r="N23">
        <v>343</v>
      </c>
      <c r="O23">
        <v>204</v>
      </c>
      <c r="P23">
        <v>298</v>
      </c>
      <c r="Q23">
        <v>226</v>
      </c>
      <c r="R23">
        <v>235</v>
      </c>
      <c r="S23">
        <v>4</v>
      </c>
      <c r="T23">
        <v>478</v>
      </c>
      <c r="U23">
        <v>174</v>
      </c>
      <c r="V23">
        <v>451</v>
      </c>
      <c r="W23">
        <v>295</v>
      </c>
      <c r="X23">
        <v>77</v>
      </c>
      <c r="Y23">
        <v>322</v>
      </c>
      <c r="Z23">
        <v>260</v>
      </c>
      <c r="AA23">
        <v>233</v>
      </c>
      <c r="AB23">
        <v>284</v>
      </c>
      <c r="AC23">
        <v>399</v>
      </c>
      <c r="AD23">
        <v>370</v>
      </c>
      <c r="AE23">
        <v>209</v>
      </c>
      <c r="AF23">
        <v>368</v>
      </c>
      <c r="AG23">
        <v>240</v>
      </c>
      <c r="AH23">
        <v>350</v>
      </c>
      <c r="AI23">
        <v>402</v>
      </c>
      <c r="AJ23">
        <v>343</v>
      </c>
      <c r="AK23">
        <v>204</v>
      </c>
      <c r="AL23">
        <v>298</v>
      </c>
      <c r="AM23">
        <v>226</v>
      </c>
      <c r="AN23">
        <v>235</v>
      </c>
      <c r="AO23">
        <v>4</v>
      </c>
      <c r="AP23">
        <v>478</v>
      </c>
      <c r="AQ23">
        <v>174</v>
      </c>
      <c r="AR23">
        <v>451</v>
      </c>
      <c r="AS23">
        <v>295</v>
      </c>
      <c r="AT23">
        <v>77</v>
      </c>
      <c r="AU23">
        <v>322</v>
      </c>
      <c r="AV23">
        <v>260</v>
      </c>
      <c r="AW23">
        <v>233</v>
      </c>
      <c r="AX23">
        <v>284</v>
      </c>
      <c r="AY23">
        <v>399</v>
      </c>
      <c r="AZ23">
        <v>370</v>
      </c>
      <c r="BA23">
        <v>209</v>
      </c>
      <c r="BB23">
        <v>368</v>
      </c>
      <c r="BC23">
        <v>240</v>
      </c>
      <c r="BD23">
        <v>350</v>
      </c>
      <c r="BE23">
        <v>402</v>
      </c>
      <c r="BF23">
        <v>343</v>
      </c>
      <c r="BG23">
        <v>204</v>
      </c>
      <c r="BH23">
        <v>298</v>
      </c>
      <c r="BI23">
        <v>226</v>
      </c>
      <c r="BJ23">
        <v>235</v>
      </c>
      <c r="BK23">
        <v>4</v>
      </c>
      <c r="BL23">
        <v>478</v>
      </c>
      <c r="BM23">
        <v>174</v>
      </c>
      <c r="BN23">
        <v>451</v>
      </c>
      <c r="BO23">
        <v>295</v>
      </c>
      <c r="BP23">
        <v>77</v>
      </c>
      <c r="BQ23">
        <v>322</v>
      </c>
      <c r="BR23">
        <v>260</v>
      </c>
      <c r="BS23">
        <v>233</v>
      </c>
      <c r="BT23">
        <v>284</v>
      </c>
      <c r="BU23">
        <v>399</v>
      </c>
      <c r="BV23">
        <v>370</v>
      </c>
      <c r="BW23">
        <v>209</v>
      </c>
      <c r="BX23">
        <v>368</v>
      </c>
      <c r="BY23">
        <v>240</v>
      </c>
      <c r="BZ23">
        <v>350</v>
      </c>
      <c r="CA23">
        <v>402</v>
      </c>
      <c r="CB23">
        <v>343</v>
      </c>
      <c r="CC23">
        <v>204</v>
      </c>
      <c r="CD23">
        <v>298</v>
      </c>
      <c r="CE23">
        <v>226</v>
      </c>
      <c r="CF23">
        <v>235</v>
      </c>
      <c r="CG23">
        <v>4</v>
      </c>
      <c r="CH23">
        <v>478</v>
      </c>
      <c r="CI23">
        <v>174</v>
      </c>
      <c r="CJ23">
        <v>451</v>
      </c>
      <c r="CK23">
        <v>295</v>
      </c>
      <c r="CL23">
        <v>77</v>
      </c>
      <c r="CM23">
        <v>322</v>
      </c>
      <c r="CN23">
        <v>260</v>
      </c>
      <c r="CO23">
        <v>233</v>
      </c>
      <c r="CP23">
        <v>284</v>
      </c>
      <c r="CQ23">
        <v>399</v>
      </c>
      <c r="CR23">
        <v>370</v>
      </c>
      <c r="CS23">
        <v>209</v>
      </c>
      <c r="CT23">
        <v>368</v>
      </c>
      <c r="CU23">
        <v>240</v>
      </c>
      <c r="CV23">
        <v>350</v>
      </c>
      <c r="CW23">
        <v>402</v>
      </c>
      <c r="CX23" s="2">
        <f>AVERAGE(CP23:CW23)</f>
        <v>327.75</v>
      </c>
      <c r="CY23">
        <f t="shared" ref="CY23:DG23" si="57">AVERAGE(CQ23:CX23)</f>
        <v>333.21875</v>
      </c>
      <c r="CZ23">
        <f t="shared" si="57"/>
        <v>324.99609375</v>
      </c>
      <c r="DA23">
        <f t="shared" si="57"/>
        <v>319.37060546875</v>
      </c>
      <c r="DB23">
        <f t="shared" si="57"/>
        <v>333.16693115234375</v>
      </c>
      <c r="DC23">
        <f t="shared" si="57"/>
        <v>328.81279754638672</v>
      </c>
      <c r="DD23">
        <f t="shared" si="57"/>
        <v>339.91439723968506</v>
      </c>
      <c r="DE23">
        <f t="shared" si="57"/>
        <v>338.65369689464569</v>
      </c>
      <c r="DF23">
        <f t="shared" si="57"/>
        <v>330.7354090064764</v>
      </c>
      <c r="DG23">
        <f t="shared" si="57"/>
        <v>331.10858513228595</v>
      </c>
      <c r="DI23">
        <f>ABS(CX23-CX5)</f>
        <v>15.25</v>
      </c>
      <c r="DJ23">
        <f t="shared" si="35"/>
        <v>129.21875</v>
      </c>
      <c r="DK23">
        <f t="shared" si="35"/>
        <v>26.99609375</v>
      </c>
      <c r="DL23">
        <f t="shared" si="35"/>
        <v>93.37060546875</v>
      </c>
      <c r="DM23">
        <f t="shared" si="35"/>
        <v>98.16693115234375</v>
      </c>
      <c r="DN23">
        <f t="shared" si="35"/>
        <v>324.81279754638672</v>
      </c>
      <c r="DO23">
        <f t="shared" si="35"/>
        <v>138.08560276031494</v>
      </c>
      <c r="DP23">
        <f t="shared" si="35"/>
        <v>164.65369689464569</v>
      </c>
      <c r="DQ23">
        <f t="shared" si="35"/>
        <v>120.2645909935236</v>
      </c>
      <c r="DR23">
        <f t="shared" si="35"/>
        <v>36.108585132285953</v>
      </c>
      <c r="DS23" s="1">
        <f t="shared" si="36"/>
        <v>1146.9276536982507</v>
      </c>
      <c r="DU23">
        <v>8</v>
      </c>
      <c r="DZ23">
        <f>ABS(CX23-CX$5)/MAX($B$5:$CW$5)</f>
        <v>3.1903765690376569E-2</v>
      </c>
      <c r="EA23">
        <f t="shared" ref="EA23" si="58">ABS(CY23-CY$5)/MAX($B$5:$CW$5)</f>
        <v>0.2703321129707113</v>
      </c>
      <c r="EB23">
        <f t="shared" ref="EB23" si="59">ABS(CZ23-CZ$5)/MAX($B$5:$CW$5)</f>
        <v>5.6477183577405859E-2</v>
      </c>
      <c r="EC23">
        <f t="shared" ref="EC23" si="60">ABS(DA23-DA$5)/MAX($B$5:$CW$5)</f>
        <v>0.19533599470449792</v>
      </c>
      <c r="ED23">
        <f t="shared" ref="ED23" si="61">ABS(DB23-DB$5)/MAX($B$5:$CW$5)</f>
        <v>0.20537014885427562</v>
      </c>
      <c r="EE23">
        <f t="shared" ref="EE23" si="62">ABS(DC23-DC$5)/MAX($B$5:$CW$5)</f>
        <v>0.67952468105938646</v>
      </c>
      <c r="EF23">
        <f t="shared" ref="EF23" si="63">ABS(DD23-DD$5)/MAX($B$5:$CW$5)</f>
        <v>0.28888201414291831</v>
      </c>
      <c r="EG23">
        <f t="shared" ref="EG23" si="64">ABS(DE23-DE$5)/MAX($B$5:$CW$5)</f>
        <v>0.3444638010348236</v>
      </c>
      <c r="EH23">
        <f t="shared" ref="EH23" si="65">ABS(DF23-DF$5)/MAX($B$5:$CW$5)</f>
        <v>0.25159956274795731</v>
      </c>
      <c r="EI23">
        <f t="shared" ref="EI23" si="66">ABS(DG23-DG$5)/MAX($B$5:$CW$5)</f>
        <v>7.5540973080096135E-2</v>
      </c>
      <c r="EJ23" s="1">
        <f t="shared" si="46"/>
        <v>2.399430237862449</v>
      </c>
    </row>
    <row r="24" spans="1:140" x14ac:dyDescent="0.35">
      <c r="A24" t="s">
        <v>115</v>
      </c>
      <c r="B24">
        <v>779</v>
      </c>
      <c r="C24">
        <v>532</v>
      </c>
      <c r="D24">
        <v>86</v>
      </c>
      <c r="E24">
        <v>290</v>
      </c>
      <c r="F24">
        <v>534</v>
      </c>
      <c r="G24">
        <v>505</v>
      </c>
      <c r="H24">
        <v>249</v>
      </c>
      <c r="I24">
        <v>503</v>
      </c>
      <c r="J24">
        <v>991</v>
      </c>
      <c r="K24">
        <v>705</v>
      </c>
      <c r="L24">
        <v>357</v>
      </c>
      <c r="M24">
        <v>112</v>
      </c>
      <c r="N24">
        <v>927</v>
      </c>
      <c r="O24">
        <v>582</v>
      </c>
      <c r="P24">
        <v>746</v>
      </c>
      <c r="Q24">
        <v>677</v>
      </c>
      <c r="R24">
        <v>405</v>
      </c>
      <c r="S24">
        <v>758</v>
      </c>
      <c r="T24">
        <v>412</v>
      </c>
      <c r="U24">
        <v>890</v>
      </c>
      <c r="V24">
        <v>944</v>
      </c>
      <c r="W24">
        <v>818</v>
      </c>
      <c r="X24">
        <v>293</v>
      </c>
      <c r="Y24">
        <v>575</v>
      </c>
      <c r="Z24">
        <v>10</v>
      </c>
      <c r="AA24">
        <v>294</v>
      </c>
      <c r="AB24">
        <v>593</v>
      </c>
      <c r="AC24">
        <v>380</v>
      </c>
      <c r="AD24">
        <v>133</v>
      </c>
      <c r="AE24">
        <v>886</v>
      </c>
      <c r="AF24">
        <v>956</v>
      </c>
      <c r="AG24">
        <v>886</v>
      </c>
      <c r="AH24">
        <v>506</v>
      </c>
      <c r="AI24">
        <v>581</v>
      </c>
      <c r="AJ24">
        <v>558</v>
      </c>
      <c r="AK24">
        <v>879</v>
      </c>
      <c r="AL24">
        <v>322</v>
      </c>
      <c r="AM24">
        <v>613</v>
      </c>
      <c r="AN24">
        <v>613</v>
      </c>
      <c r="AO24">
        <v>888</v>
      </c>
      <c r="AP24">
        <v>592</v>
      </c>
      <c r="AQ24">
        <v>192</v>
      </c>
      <c r="AR24">
        <v>249</v>
      </c>
      <c r="AS24">
        <v>293</v>
      </c>
      <c r="AT24">
        <v>283</v>
      </c>
      <c r="AU24">
        <v>156</v>
      </c>
      <c r="AV24">
        <v>336</v>
      </c>
      <c r="AW24">
        <v>192</v>
      </c>
      <c r="AX24">
        <v>226</v>
      </c>
      <c r="AY24">
        <v>634</v>
      </c>
      <c r="AZ24">
        <v>713</v>
      </c>
      <c r="BA24">
        <v>961</v>
      </c>
      <c r="BB24">
        <v>41</v>
      </c>
      <c r="BC24">
        <v>988</v>
      </c>
      <c r="BD24">
        <v>628</v>
      </c>
      <c r="BE24">
        <v>286</v>
      </c>
      <c r="BF24">
        <v>90</v>
      </c>
      <c r="BG24">
        <v>350</v>
      </c>
      <c r="BH24">
        <v>312</v>
      </c>
      <c r="BI24">
        <v>127</v>
      </c>
      <c r="BJ24">
        <v>862</v>
      </c>
      <c r="BK24">
        <v>433</v>
      </c>
      <c r="BL24">
        <v>311</v>
      </c>
      <c r="BM24">
        <v>795</v>
      </c>
      <c r="BN24">
        <v>94</v>
      </c>
      <c r="BO24">
        <v>249</v>
      </c>
      <c r="BP24">
        <v>293</v>
      </c>
      <c r="BQ24">
        <v>825</v>
      </c>
      <c r="BR24">
        <v>986</v>
      </c>
      <c r="BS24">
        <v>360</v>
      </c>
      <c r="BT24">
        <v>590</v>
      </c>
      <c r="BU24">
        <v>435</v>
      </c>
      <c r="BV24">
        <v>713</v>
      </c>
      <c r="BW24">
        <v>40</v>
      </c>
      <c r="BX24">
        <v>881</v>
      </c>
      <c r="BY24">
        <v>942</v>
      </c>
      <c r="BZ24">
        <v>910</v>
      </c>
      <c r="CA24">
        <v>663</v>
      </c>
      <c r="CB24">
        <v>815</v>
      </c>
      <c r="CC24">
        <v>523</v>
      </c>
      <c r="CD24">
        <v>901</v>
      </c>
      <c r="CE24">
        <v>500</v>
      </c>
      <c r="CF24">
        <v>637</v>
      </c>
      <c r="CG24">
        <v>972</v>
      </c>
      <c r="CH24">
        <v>294</v>
      </c>
      <c r="CI24">
        <v>815</v>
      </c>
      <c r="CJ24">
        <v>860</v>
      </c>
      <c r="CK24">
        <v>736</v>
      </c>
      <c r="CL24">
        <v>929</v>
      </c>
      <c r="CM24">
        <v>650</v>
      </c>
      <c r="CN24">
        <v>396</v>
      </c>
      <c r="CO24">
        <v>541</v>
      </c>
      <c r="CP24">
        <v>471</v>
      </c>
      <c r="CQ24">
        <v>370</v>
      </c>
      <c r="CR24">
        <v>727</v>
      </c>
      <c r="CS24">
        <v>639</v>
      </c>
      <c r="CT24">
        <v>626</v>
      </c>
      <c r="CU24">
        <v>955</v>
      </c>
      <c r="CV24">
        <v>31</v>
      </c>
      <c r="CW24">
        <v>250</v>
      </c>
      <c r="CX24" s="2">
        <f>AVERAGE(CO24:CW24)</f>
        <v>512.22222222222217</v>
      </c>
      <c r="CY24">
        <f t="shared" ref="CY24:DG24" si="67">AVERAGE(CP24:CX24)</f>
        <v>509.02469135802471</v>
      </c>
      <c r="CZ24">
        <f t="shared" si="67"/>
        <v>513.24965706447199</v>
      </c>
      <c r="DA24">
        <f t="shared" si="67"/>
        <v>529.16628562719097</v>
      </c>
      <c r="DB24">
        <f t="shared" si="67"/>
        <v>507.18476180798996</v>
      </c>
      <c r="DC24">
        <f t="shared" si="67"/>
        <v>492.53862423109996</v>
      </c>
      <c r="DD24">
        <f t="shared" si="67"/>
        <v>477.70958247899995</v>
      </c>
      <c r="DE24">
        <f t="shared" si="67"/>
        <v>424.67731386555556</v>
      </c>
      <c r="DF24">
        <f t="shared" si="67"/>
        <v>468.41923762839502</v>
      </c>
      <c r="DG24">
        <f t="shared" si="67"/>
        <v>492.68804180932784</v>
      </c>
      <c r="DI24">
        <f>ABS(CX24-CX6)</f>
        <v>398.77777777777783</v>
      </c>
      <c r="DJ24">
        <f t="shared" si="35"/>
        <v>178.97530864197529</v>
      </c>
      <c r="DK24">
        <f t="shared" si="35"/>
        <v>163.75034293552801</v>
      </c>
      <c r="DL24">
        <f t="shared" si="35"/>
        <v>258.83371437280903</v>
      </c>
      <c r="DM24">
        <f t="shared" si="35"/>
        <v>142.81523819201004</v>
      </c>
      <c r="DN24">
        <f t="shared" si="35"/>
        <v>241.46137576890004</v>
      </c>
      <c r="DO24">
        <f t="shared" si="35"/>
        <v>65.290417521000052</v>
      </c>
      <c r="DP24">
        <f t="shared" si="35"/>
        <v>87.677313865555561</v>
      </c>
      <c r="DQ24">
        <f t="shared" si="35"/>
        <v>45.580762371604976</v>
      </c>
      <c r="DR24">
        <f t="shared" si="35"/>
        <v>366.68804180932784</v>
      </c>
      <c r="DS24" s="1">
        <f t="shared" si="36"/>
        <v>1949.8502932564888</v>
      </c>
      <c r="DU24">
        <v>9</v>
      </c>
      <c r="DZ24">
        <f>ABS(CX24-CX$6)/MAX($B$6:$CW$6)</f>
        <v>0.40239937212692012</v>
      </c>
      <c r="EA24">
        <f t="shared" ref="EA24" si="68">ABS(CY24-CY$6)/MAX($B$6:$CW$6)</f>
        <v>0.18060071507767436</v>
      </c>
      <c r="EB24">
        <f t="shared" ref="EB24" si="69">ABS(CZ24-CZ$6)/MAX($B$6:$CW$6)</f>
        <v>0.16523748025784865</v>
      </c>
      <c r="EC24">
        <f t="shared" ref="EC24" si="70">ABS(DA24-DA$6)/MAX($B$6:$CW$6)</f>
        <v>0.26118437373643694</v>
      </c>
      <c r="ED24">
        <f t="shared" ref="ED24" si="71">ABS(DB24-DB$6)/MAX($B$6:$CW$6)</f>
        <v>0.1441122484278608</v>
      </c>
      <c r="EE24">
        <f t="shared" ref="EE24" si="72">ABS(DC24-DC$6)/MAX($B$6:$CW$6)</f>
        <v>0.24365426414621599</v>
      </c>
      <c r="EF24">
        <f t="shared" ref="EF24" si="73">ABS(DD24-DD$6)/MAX($B$6:$CW$6)</f>
        <v>6.5883367831483408E-2</v>
      </c>
      <c r="EG24">
        <f t="shared" ref="EG24" si="74">ABS(DE24-DE$6)/MAX($B$6:$CW$6)</f>
        <v>8.8473576050005609E-2</v>
      </c>
      <c r="EH24">
        <f t="shared" ref="EH24" si="75">ABS(DF24-DF$6)/MAX($B$6:$CW$6)</f>
        <v>4.599471480484861E-2</v>
      </c>
      <c r="EI24">
        <f t="shared" ref="EI24" si="76">ABS(DG24-DG$6)/MAX($B$6:$CW$6)</f>
        <v>0.37001820566027027</v>
      </c>
      <c r="EJ24" s="1">
        <f t="shared" si="46"/>
        <v>1.9675583181195646</v>
      </c>
    </row>
    <row r="27" spans="1:140" x14ac:dyDescent="0.35">
      <c r="CX27" s="2" t="s">
        <v>117</v>
      </c>
    </row>
    <row r="28" spans="1:140" x14ac:dyDescent="0.3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  <c r="I28" t="s">
        <v>8</v>
      </c>
      <c r="J28" t="s">
        <v>9</v>
      </c>
      <c r="K28" t="s">
        <v>10</v>
      </c>
      <c r="L28" t="s">
        <v>11</v>
      </c>
      <c r="M28" t="s">
        <v>12</v>
      </c>
      <c r="N28" t="s">
        <v>13</v>
      </c>
      <c r="O28" t="s">
        <v>14</v>
      </c>
      <c r="P28" t="s">
        <v>15</v>
      </c>
      <c r="Q28" t="s">
        <v>16</v>
      </c>
      <c r="R28" t="s">
        <v>17</v>
      </c>
      <c r="S28" t="s">
        <v>18</v>
      </c>
      <c r="T28" t="s">
        <v>19</v>
      </c>
      <c r="U28" t="s">
        <v>20</v>
      </c>
      <c r="V28" t="s">
        <v>21</v>
      </c>
      <c r="W28" t="s">
        <v>22</v>
      </c>
      <c r="X28" t="s">
        <v>23</v>
      </c>
      <c r="Y28" t="s">
        <v>24</v>
      </c>
      <c r="Z28" t="s">
        <v>25</v>
      </c>
      <c r="AA28" t="s">
        <v>26</v>
      </c>
      <c r="AB28" t="s">
        <v>27</v>
      </c>
      <c r="AC28" t="s">
        <v>28</v>
      </c>
      <c r="AD28" t="s">
        <v>29</v>
      </c>
      <c r="AE28" t="s">
        <v>30</v>
      </c>
      <c r="AF28" t="s">
        <v>31</v>
      </c>
      <c r="AG28" t="s">
        <v>32</v>
      </c>
      <c r="AH28" t="s">
        <v>33</v>
      </c>
      <c r="AI28" t="s">
        <v>34</v>
      </c>
      <c r="AJ28" t="s">
        <v>35</v>
      </c>
      <c r="AK28" t="s">
        <v>36</v>
      </c>
      <c r="AL28" t="s">
        <v>37</v>
      </c>
      <c r="AM28" t="s">
        <v>38</v>
      </c>
      <c r="AN28" t="s">
        <v>39</v>
      </c>
      <c r="AO28" t="s">
        <v>40</v>
      </c>
      <c r="AP28" t="s">
        <v>41</v>
      </c>
      <c r="AQ28" t="s">
        <v>42</v>
      </c>
      <c r="AR28" t="s">
        <v>43</v>
      </c>
      <c r="AS28" t="s">
        <v>44</v>
      </c>
      <c r="AT28" t="s">
        <v>45</v>
      </c>
      <c r="AU28" t="s">
        <v>46</v>
      </c>
      <c r="AV28" t="s">
        <v>47</v>
      </c>
      <c r="AW28" t="s">
        <v>48</v>
      </c>
      <c r="AX28" t="s">
        <v>49</v>
      </c>
      <c r="AY28" t="s">
        <v>50</v>
      </c>
      <c r="AZ28" t="s">
        <v>51</v>
      </c>
      <c r="BA28" t="s">
        <v>52</v>
      </c>
      <c r="BB28" t="s">
        <v>53</v>
      </c>
      <c r="BC28" t="s">
        <v>54</v>
      </c>
      <c r="BD28" t="s">
        <v>55</v>
      </c>
      <c r="BE28" t="s">
        <v>56</v>
      </c>
      <c r="BF28" t="s">
        <v>57</v>
      </c>
      <c r="BG28" t="s">
        <v>58</v>
      </c>
      <c r="BH28" t="s">
        <v>59</v>
      </c>
      <c r="BI28" t="s">
        <v>60</v>
      </c>
      <c r="BJ28" t="s">
        <v>61</v>
      </c>
      <c r="BK28" t="s">
        <v>62</v>
      </c>
      <c r="BL28" t="s">
        <v>63</v>
      </c>
      <c r="BM28" t="s">
        <v>64</v>
      </c>
      <c r="BN28" t="s">
        <v>65</v>
      </c>
      <c r="BO28" t="s">
        <v>66</v>
      </c>
      <c r="BP28" t="s">
        <v>67</v>
      </c>
      <c r="BQ28" t="s">
        <v>68</v>
      </c>
      <c r="BR28" t="s">
        <v>69</v>
      </c>
      <c r="BS28" t="s">
        <v>70</v>
      </c>
      <c r="BT28" t="s">
        <v>71</v>
      </c>
      <c r="BU28" t="s">
        <v>72</v>
      </c>
      <c r="BV28" t="s">
        <v>73</v>
      </c>
      <c r="BW28" t="s">
        <v>74</v>
      </c>
      <c r="BX28" t="s">
        <v>75</v>
      </c>
      <c r="BY28" t="s">
        <v>76</v>
      </c>
      <c r="BZ28" t="s">
        <v>77</v>
      </c>
      <c r="CA28" t="s">
        <v>78</v>
      </c>
      <c r="CB28" t="s">
        <v>79</v>
      </c>
      <c r="CC28" t="s">
        <v>80</v>
      </c>
      <c r="CD28" t="s">
        <v>81</v>
      </c>
      <c r="CE28" t="s">
        <v>82</v>
      </c>
      <c r="CF28" t="s">
        <v>83</v>
      </c>
      <c r="CG28" t="s">
        <v>84</v>
      </c>
      <c r="CH28" t="s">
        <v>85</v>
      </c>
      <c r="CI28" t="s">
        <v>86</v>
      </c>
      <c r="CJ28" t="s">
        <v>87</v>
      </c>
      <c r="CK28" t="s">
        <v>88</v>
      </c>
      <c r="CL28" t="s">
        <v>89</v>
      </c>
      <c r="CM28" t="s">
        <v>90</v>
      </c>
      <c r="CN28" t="s">
        <v>91</v>
      </c>
      <c r="CO28" t="s">
        <v>92</v>
      </c>
      <c r="CP28" t="s">
        <v>93</v>
      </c>
      <c r="CQ28" t="s">
        <v>94</v>
      </c>
      <c r="CR28" t="s">
        <v>95</v>
      </c>
      <c r="CS28" t="s">
        <v>96</v>
      </c>
      <c r="CT28" t="s">
        <v>97</v>
      </c>
      <c r="CU28" t="s">
        <v>98</v>
      </c>
      <c r="CV28" t="s">
        <v>99</v>
      </c>
      <c r="CW28" t="s">
        <v>100</v>
      </c>
      <c r="CX28" s="2" t="s">
        <v>101</v>
      </c>
      <c r="CY28" t="s">
        <v>102</v>
      </c>
      <c r="CZ28" t="s">
        <v>103</v>
      </c>
      <c r="DA28" t="s">
        <v>104</v>
      </c>
      <c r="DB28" t="s">
        <v>105</v>
      </c>
      <c r="DC28" t="s">
        <v>106</v>
      </c>
      <c r="DD28" t="s">
        <v>107</v>
      </c>
      <c r="DE28" t="s">
        <v>108</v>
      </c>
      <c r="DF28" t="s">
        <v>109</v>
      </c>
      <c r="DG28" t="s">
        <v>110</v>
      </c>
      <c r="DI28" t="s">
        <v>101</v>
      </c>
      <c r="DJ28" t="s">
        <v>102</v>
      </c>
      <c r="DK28" t="s">
        <v>103</v>
      </c>
      <c r="DL28" t="s">
        <v>104</v>
      </c>
      <c r="DM28" t="s">
        <v>105</v>
      </c>
      <c r="DN28" t="s">
        <v>106</v>
      </c>
      <c r="DO28" t="s">
        <v>107</v>
      </c>
      <c r="DP28" t="s">
        <v>108</v>
      </c>
      <c r="DQ28" t="s">
        <v>109</v>
      </c>
      <c r="DR28" t="s">
        <v>110</v>
      </c>
      <c r="DS28" s="1" t="s">
        <v>120</v>
      </c>
      <c r="DU28" t="s">
        <v>123</v>
      </c>
      <c r="DZ28" t="s">
        <v>101</v>
      </c>
      <c r="EA28" t="s">
        <v>102</v>
      </c>
      <c r="EB28" t="s">
        <v>103</v>
      </c>
      <c r="EC28" t="s">
        <v>104</v>
      </c>
      <c r="ED28" t="s">
        <v>105</v>
      </c>
      <c r="EE28" t="s">
        <v>106</v>
      </c>
      <c r="EF28" t="s">
        <v>107</v>
      </c>
      <c r="EG28" t="s">
        <v>108</v>
      </c>
      <c r="EH28" t="s">
        <v>109</v>
      </c>
      <c r="EI28" t="s">
        <v>110</v>
      </c>
      <c r="EJ28" s="1" t="s">
        <v>120</v>
      </c>
    </row>
    <row r="29" spans="1:140" x14ac:dyDescent="0.35">
      <c r="A29" t="s">
        <v>111</v>
      </c>
      <c r="B29">
        <v>3</v>
      </c>
      <c r="C29">
        <v>12</v>
      </c>
      <c r="D29">
        <v>41</v>
      </c>
      <c r="E29">
        <v>2</v>
      </c>
      <c r="F29">
        <v>31</v>
      </c>
      <c r="G29">
        <v>2</v>
      </c>
      <c r="H29">
        <v>43</v>
      </c>
      <c r="I29">
        <v>43</v>
      </c>
      <c r="J29">
        <v>22</v>
      </c>
      <c r="K29">
        <v>32</v>
      </c>
      <c r="L29">
        <v>3</v>
      </c>
      <c r="M29">
        <v>12</v>
      </c>
      <c r="N29">
        <v>41</v>
      </c>
      <c r="O29">
        <v>2</v>
      </c>
      <c r="P29">
        <v>31</v>
      </c>
      <c r="Q29">
        <v>2</v>
      </c>
      <c r="R29">
        <v>43</v>
      </c>
      <c r="S29">
        <v>43</v>
      </c>
      <c r="T29">
        <v>22</v>
      </c>
      <c r="U29">
        <v>32</v>
      </c>
      <c r="V29">
        <v>3</v>
      </c>
      <c r="W29">
        <v>12</v>
      </c>
      <c r="X29">
        <v>41</v>
      </c>
      <c r="Y29">
        <v>2</v>
      </c>
      <c r="Z29">
        <v>31</v>
      </c>
      <c r="AA29">
        <v>2</v>
      </c>
      <c r="AB29">
        <v>43</v>
      </c>
      <c r="AC29">
        <v>43</v>
      </c>
      <c r="AD29">
        <v>22</v>
      </c>
      <c r="AE29">
        <v>32</v>
      </c>
      <c r="AF29">
        <v>3</v>
      </c>
      <c r="AG29">
        <v>12</v>
      </c>
      <c r="AH29">
        <v>41</v>
      </c>
      <c r="AI29">
        <v>2</v>
      </c>
      <c r="AJ29">
        <v>31</v>
      </c>
      <c r="AK29">
        <v>2</v>
      </c>
      <c r="AL29">
        <v>43</v>
      </c>
      <c r="AM29">
        <v>43</v>
      </c>
      <c r="AN29">
        <v>22</v>
      </c>
      <c r="AO29">
        <v>32</v>
      </c>
      <c r="AP29">
        <v>3</v>
      </c>
      <c r="AQ29">
        <v>12</v>
      </c>
      <c r="AR29">
        <v>41</v>
      </c>
      <c r="AS29">
        <v>2</v>
      </c>
      <c r="AT29">
        <v>31</v>
      </c>
      <c r="AU29">
        <v>2</v>
      </c>
      <c r="AV29">
        <v>43</v>
      </c>
      <c r="AW29">
        <v>43</v>
      </c>
      <c r="AX29">
        <v>22</v>
      </c>
      <c r="AY29">
        <v>32</v>
      </c>
      <c r="AZ29">
        <v>3</v>
      </c>
      <c r="BA29">
        <v>12</v>
      </c>
      <c r="BB29">
        <v>41</v>
      </c>
      <c r="BC29">
        <v>2</v>
      </c>
      <c r="BD29">
        <v>31</v>
      </c>
      <c r="BE29">
        <v>2</v>
      </c>
      <c r="BF29">
        <v>43</v>
      </c>
      <c r="BG29">
        <v>43</v>
      </c>
      <c r="BH29">
        <v>22</v>
      </c>
      <c r="BI29">
        <v>32</v>
      </c>
      <c r="BJ29">
        <v>3</v>
      </c>
      <c r="BK29">
        <v>12</v>
      </c>
      <c r="BL29">
        <v>41</v>
      </c>
      <c r="BM29">
        <v>2</v>
      </c>
      <c r="BN29">
        <v>31</v>
      </c>
      <c r="BO29">
        <v>2</v>
      </c>
      <c r="BP29">
        <v>43</v>
      </c>
      <c r="BQ29">
        <v>43</v>
      </c>
      <c r="BR29">
        <v>22</v>
      </c>
      <c r="BS29">
        <v>32</v>
      </c>
      <c r="BT29">
        <v>3</v>
      </c>
      <c r="BU29">
        <v>12</v>
      </c>
      <c r="BV29">
        <v>41</v>
      </c>
      <c r="BW29">
        <v>2</v>
      </c>
      <c r="BX29">
        <v>31</v>
      </c>
      <c r="BY29">
        <v>2</v>
      </c>
      <c r="BZ29">
        <v>43</v>
      </c>
      <c r="CA29">
        <v>43</v>
      </c>
      <c r="CB29">
        <v>22</v>
      </c>
      <c r="CC29">
        <v>32</v>
      </c>
      <c r="CD29">
        <v>3</v>
      </c>
      <c r="CE29">
        <v>12</v>
      </c>
      <c r="CF29">
        <v>41</v>
      </c>
      <c r="CG29">
        <v>2</v>
      </c>
      <c r="CH29">
        <v>31</v>
      </c>
      <c r="CI29">
        <v>2</v>
      </c>
      <c r="CJ29">
        <v>43</v>
      </c>
      <c r="CK29">
        <v>43</v>
      </c>
      <c r="CL29">
        <v>22</v>
      </c>
      <c r="CM29">
        <v>32</v>
      </c>
      <c r="CN29">
        <v>3</v>
      </c>
      <c r="CO29">
        <v>12</v>
      </c>
      <c r="CP29">
        <v>41</v>
      </c>
      <c r="CQ29">
        <v>2</v>
      </c>
      <c r="CR29">
        <v>31</v>
      </c>
      <c r="CS29">
        <v>2</v>
      </c>
      <c r="CT29">
        <v>43</v>
      </c>
      <c r="CU29">
        <v>43</v>
      </c>
      <c r="CV29">
        <v>22</v>
      </c>
      <c r="CW29">
        <v>32</v>
      </c>
      <c r="CX29" s="2">
        <f>$CW$30</f>
        <v>29.794500315072277</v>
      </c>
      <c r="CY29">
        <f t="shared" ref="CY29:DG29" si="77">$CW$30</f>
        <v>29.794500315072277</v>
      </c>
      <c r="CZ29">
        <f t="shared" si="77"/>
        <v>29.794500315072277</v>
      </c>
      <c r="DA29">
        <f t="shared" si="77"/>
        <v>29.794500315072277</v>
      </c>
      <c r="DB29">
        <f t="shared" si="77"/>
        <v>29.794500315072277</v>
      </c>
      <c r="DC29">
        <f t="shared" si="77"/>
        <v>29.794500315072277</v>
      </c>
      <c r="DD29">
        <f t="shared" si="77"/>
        <v>29.794500315072277</v>
      </c>
      <c r="DE29">
        <f t="shared" si="77"/>
        <v>29.794500315072277</v>
      </c>
      <c r="DF29">
        <f t="shared" si="77"/>
        <v>29.794500315072277</v>
      </c>
      <c r="DG29">
        <f t="shared" si="77"/>
        <v>29.794500315072277</v>
      </c>
      <c r="DI29">
        <f>ABS(CX29-CX2)</f>
        <v>26.794500315072277</v>
      </c>
      <c r="DJ29">
        <f t="shared" ref="DJ29:DR29" si="78">ABS(CY29-CY2)</f>
        <v>17.794500315072277</v>
      </c>
      <c r="DK29">
        <f t="shared" si="78"/>
        <v>11.205499684927723</v>
      </c>
      <c r="DL29">
        <f t="shared" si="78"/>
        <v>27.794500315072277</v>
      </c>
      <c r="DM29">
        <f t="shared" si="78"/>
        <v>1.2054996849277231</v>
      </c>
      <c r="DN29">
        <f t="shared" si="78"/>
        <v>27.794500315072277</v>
      </c>
      <c r="DO29">
        <f t="shared" si="78"/>
        <v>13.205499684927723</v>
      </c>
      <c r="DP29">
        <f t="shared" si="78"/>
        <v>13.205499684927723</v>
      </c>
      <c r="DQ29">
        <f t="shared" si="78"/>
        <v>7.7945003150722769</v>
      </c>
      <c r="DR29">
        <f t="shared" si="78"/>
        <v>2.2054996849277231</v>
      </c>
      <c r="DS29" s="1">
        <f>SUM(DI29:DR29)</f>
        <v>149</v>
      </c>
      <c r="DU29" s="3">
        <v>0.39600200000000002</v>
      </c>
      <c r="DZ29">
        <f>ABS(CX29-CX$2)/MAX($B$2:$CW$2)</f>
        <v>0.62312791430400649</v>
      </c>
      <c r="EA29">
        <f t="shared" ref="EA29" si="79">ABS(CY29-CY$2)/MAX($B$2:$CW$2)</f>
        <v>0.4138255887226111</v>
      </c>
      <c r="EB29">
        <f t="shared" ref="EB29" si="80">ABS(CZ29-CZ$2)/MAX($B$2:$CW$2)</f>
        <v>0.26059301592855172</v>
      </c>
      <c r="EC29">
        <f t="shared" ref="EC29" si="81">ABS(DA29-DA$2)/MAX($B$2:$CW$2)</f>
        <v>0.64638372825749479</v>
      </c>
      <c r="ED29">
        <f t="shared" ref="ED29" si="82">ABS(DB29-DB$2)/MAX($B$2:$CW$2)</f>
        <v>2.8034876393667977E-2</v>
      </c>
      <c r="EE29">
        <f t="shared" ref="EE29" si="83">ABS(DC29-DC$2)/MAX($B$2:$CW$2)</f>
        <v>0.64638372825749479</v>
      </c>
      <c r="EF29">
        <f t="shared" ref="EF29" si="84">ABS(DD29-DD$2)/MAX($B$2:$CW$2)</f>
        <v>0.30710464383552843</v>
      </c>
      <c r="EG29">
        <f t="shared" ref="EG29" si="85">ABS(DE29-DE$2)/MAX($B$2:$CW$2)</f>
        <v>0.30710464383552843</v>
      </c>
      <c r="EH29">
        <f t="shared" ref="EH29" si="86">ABS(DF29-DF$2)/MAX($B$2:$CW$2)</f>
        <v>0.18126744918772736</v>
      </c>
      <c r="EI29">
        <f t="shared" ref="EI29" si="87">ABS(DG29-DG$2)/MAX($B$2:$CW$2)</f>
        <v>5.1290690347156352E-2</v>
      </c>
      <c r="EJ29" s="1">
        <f>SUM(DZ29:EI29)</f>
        <v>3.4651162790697669</v>
      </c>
    </row>
    <row r="30" spans="1:140" x14ac:dyDescent="0.35">
      <c r="A30" t="s">
        <v>122</v>
      </c>
      <c r="B30">
        <f>B29</f>
        <v>3</v>
      </c>
      <c r="C30">
        <f>$DU$29*C29 + (1-$DU$29)*B30</f>
        <v>6.5640180000000008</v>
      </c>
      <c r="D30">
        <f t="shared" ref="D30:BO30" si="88">$DU$29*D29 + (1-$DU$29)*C30</f>
        <v>20.200735743964</v>
      </c>
      <c r="E30">
        <f t="shared" si="88"/>
        <v>12.993207987882769</v>
      </c>
      <c r="F30">
        <f t="shared" si="88"/>
        <v>20.123933638265218</v>
      </c>
      <c r="G30">
        <f t="shared" si="88"/>
        <v>12.946819669644915</v>
      </c>
      <c r="H30">
        <f t="shared" si="88"/>
        <v>24.847939186826192</v>
      </c>
      <c r="I30">
        <f t="shared" si="88"/>
        <v>32.036191572964647</v>
      </c>
      <c r="J30">
        <f t="shared" si="88"/>
        <v>28.061839637687505</v>
      </c>
      <c r="K30">
        <f t="shared" si="88"/>
        <v>29.621359017483982</v>
      </c>
      <c r="L30">
        <f t="shared" si="88"/>
        <v>19.079247603842294</v>
      </c>
      <c r="M30">
        <f t="shared" si="88"/>
        <v>16.275851394225541</v>
      </c>
      <c r="N30">
        <f t="shared" si="88"/>
        <v>26.066663690409438</v>
      </c>
      <c r="O30">
        <f t="shared" si="88"/>
        <v>16.536216735679922</v>
      </c>
      <c r="P30">
        <f t="shared" si="88"/>
        <v>22.263903835917205</v>
      </c>
      <c r="Q30">
        <f t="shared" si="88"/>
        <v>14.239357389086321</v>
      </c>
      <c r="R30">
        <f t="shared" si="88"/>
        <v>25.628629384293362</v>
      </c>
      <c r="S30">
        <f t="shared" si="88"/>
        <v>32.507726890854428</v>
      </c>
      <c r="T30">
        <f t="shared" si="88"/>
        <v>28.346646026622295</v>
      </c>
      <c r="U30">
        <f t="shared" si="88"/>
        <v>29.793381506787817</v>
      </c>
      <c r="V30">
        <f t="shared" si="88"/>
        <v>19.183148843336831</v>
      </c>
      <c r="W30">
        <f t="shared" si="88"/>
        <v>16.33860753507776</v>
      </c>
      <c r="X30">
        <f t="shared" si="88"/>
        <v>26.104568273971896</v>
      </c>
      <c r="Y30">
        <f t="shared" si="88"/>
        <v>16.559111028342478</v>
      </c>
      <c r="Z30">
        <f t="shared" si="88"/>
        <v>22.2777319428968</v>
      </c>
      <c r="AA30">
        <f t="shared" si="88"/>
        <v>14.247709538045783</v>
      </c>
      <c r="AB30">
        <f t="shared" si="88"/>
        <v>25.633674065560577</v>
      </c>
      <c r="AC30">
        <f t="shared" si="88"/>
        <v>32.51077386825046</v>
      </c>
      <c r="AD30">
        <f t="shared" si="88"/>
        <v>28.348486394875543</v>
      </c>
      <c r="AE30">
        <f t="shared" si="88"/>
        <v>29.794493085532039</v>
      </c>
      <c r="AF30">
        <f t="shared" si="88"/>
        <v>19.183820234675185</v>
      </c>
      <c r="AG30">
        <f t="shared" si="88"/>
        <v>16.339013054103344</v>
      </c>
      <c r="AH30">
        <f t="shared" si="88"/>
        <v>26.10481320665231</v>
      </c>
      <c r="AI30">
        <f t="shared" si="88"/>
        <v>16.559258967191582</v>
      </c>
      <c r="AJ30">
        <f t="shared" si="88"/>
        <v>22.277821297665781</v>
      </c>
      <c r="AK30">
        <f t="shared" si="88"/>
        <v>14.247763508147537</v>
      </c>
      <c r="AL30">
        <f t="shared" si="88"/>
        <v>25.633706663394101</v>
      </c>
      <c r="AM30">
        <f t="shared" si="88"/>
        <v>32.510793557276713</v>
      </c>
      <c r="AN30">
        <f t="shared" si="88"/>
        <v>28.34849828700802</v>
      </c>
      <c r="AO30">
        <f t="shared" si="88"/>
        <v>29.794500268356273</v>
      </c>
      <c r="AP30">
        <f t="shared" si="88"/>
        <v>19.183824573086653</v>
      </c>
      <c r="AQ30">
        <f t="shared" si="88"/>
        <v>16.339015674495194</v>
      </c>
      <c r="AR30">
        <f t="shared" si="88"/>
        <v>26.104814789363751</v>
      </c>
      <c r="AS30">
        <f t="shared" si="88"/>
        <v>16.559259923146126</v>
      </c>
      <c r="AT30">
        <f t="shared" si="88"/>
        <v>22.277821875060418</v>
      </c>
      <c r="AU30">
        <f t="shared" si="88"/>
        <v>14.247763856892744</v>
      </c>
      <c r="AV30">
        <f t="shared" si="88"/>
        <v>25.633706874035504</v>
      </c>
      <c r="AW30">
        <f t="shared" si="88"/>
        <v>32.510793684503696</v>
      </c>
      <c r="AX30">
        <f t="shared" si="88"/>
        <v>28.348498363852862</v>
      </c>
      <c r="AY30">
        <f t="shared" si="88"/>
        <v>29.794500314770403</v>
      </c>
      <c r="AZ30">
        <f t="shared" si="88"/>
        <v>19.183824601120698</v>
      </c>
      <c r="BA30">
        <f t="shared" si="88"/>
        <v>16.339015691427701</v>
      </c>
      <c r="BB30">
        <f t="shared" si="88"/>
        <v>26.104814799590947</v>
      </c>
      <c r="BC30">
        <f t="shared" si="88"/>
        <v>16.559259929323332</v>
      </c>
      <c r="BD30">
        <f t="shared" si="88"/>
        <v>22.277821878791435</v>
      </c>
      <c r="BE30">
        <f t="shared" si="88"/>
        <v>14.247763859146271</v>
      </c>
      <c r="BF30">
        <f t="shared" si="88"/>
        <v>25.633706875396634</v>
      </c>
      <c r="BG30">
        <f t="shared" si="88"/>
        <v>32.510793685325822</v>
      </c>
      <c r="BH30">
        <f t="shared" si="88"/>
        <v>28.348498364349425</v>
      </c>
      <c r="BI30">
        <f t="shared" si="88"/>
        <v>29.794500315070323</v>
      </c>
      <c r="BJ30">
        <f t="shared" si="88"/>
        <v>19.183824601301847</v>
      </c>
      <c r="BK30">
        <f t="shared" si="88"/>
        <v>16.339015691537114</v>
      </c>
      <c r="BL30">
        <f t="shared" si="88"/>
        <v>26.104814799657035</v>
      </c>
      <c r="BM30">
        <f t="shared" si="88"/>
        <v>16.55925992936325</v>
      </c>
      <c r="BN30">
        <f t="shared" si="88"/>
        <v>22.277821878815544</v>
      </c>
      <c r="BO30">
        <f t="shared" si="88"/>
        <v>14.247763859160832</v>
      </c>
      <c r="BP30">
        <f t="shared" ref="BP30:CW30" si="89">$DU$29*BP29 + (1-$DU$29)*BO30</f>
        <v>25.633706875405426</v>
      </c>
      <c r="BQ30">
        <f t="shared" si="89"/>
        <v>32.51079368533113</v>
      </c>
      <c r="BR30">
        <f t="shared" si="89"/>
        <v>28.348498364352636</v>
      </c>
      <c r="BS30">
        <f t="shared" si="89"/>
        <v>29.794500315072263</v>
      </c>
      <c r="BT30">
        <f t="shared" si="89"/>
        <v>19.183824601303019</v>
      </c>
      <c r="BU30">
        <f t="shared" si="89"/>
        <v>16.339015691537824</v>
      </c>
      <c r="BV30">
        <f t="shared" si="89"/>
        <v>26.104814799657461</v>
      </c>
      <c r="BW30">
        <f t="shared" si="89"/>
        <v>16.559259929363506</v>
      </c>
      <c r="BX30">
        <f t="shared" si="89"/>
        <v>22.277821878815701</v>
      </c>
      <c r="BY30">
        <f t="shared" si="89"/>
        <v>14.247763859160926</v>
      </c>
      <c r="BZ30">
        <f t="shared" si="89"/>
        <v>25.633706875405483</v>
      </c>
      <c r="CA30">
        <f t="shared" si="89"/>
        <v>32.510793685331166</v>
      </c>
      <c r="CB30">
        <f t="shared" si="89"/>
        <v>28.348498364352658</v>
      </c>
      <c r="CC30">
        <f t="shared" si="89"/>
        <v>29.794500315072277</v>
      </c>
      <c r="CD30">
        <f t="shared" si="89"/>
        <v>19.183824601303026</v>
      </c>
      <c r="CE30">
        <f t="shared" si="89"/>
        <v>16.339015691537824</v>
      </c>
      <c r="CF30">
        <f t="shared" si="89"/>
        <v>26.104814799657461</v>
      </c>
      <c r="CG30">
        <f t="shared" si="89"/>
        <v>16.559259929363506</v>
      </c>
      <c r="CH30">
        <f t="shared" si="89"/>
        <v>22.277821878815701</v>
      </c>
      <c r="CI30">
        <f t="shared" si="89"/>
        <v>14.247763859160926</v>
      </c>
      <c r="CJ30">
        <f t="shared" si="89"/>
        <v>25.633706875405483</v>
      </c>
      <c r="CK30">
        <f t="shared" si="89"/>
        <v>32.510793685331166</v>
      </c>
      <c r="CL30">
        <f t="shared" si="89"/>
        <v>28.348498364352658</v>
      </c>
      <c r="CM30">
        <f t="shared" si="89"/>
        <v>29.794500315072277</v>
      </c>
      <c r="CN30">
        <f t="shared" si="89"/>
        <v>19.183824601303026</v>
      </c>
      <c r="CO30">
        <f t="shared" si="89"/>
        <v>16.339015691537824</v>
      </c>
      <c r="CP30">
        <f t="shared" si="89"/>
        <v>26.104814799657461</v>
      </c>
      <c r="CQ30">
        <f t="shared" si="89"/>
        <v>16.559259929363506</v>
      </c>
      <c r="CR30">
        <f t="shared" si="89"/>
        <v>22.277821878815701</v>
      </c>
      <c r="CS30">
        <f t="shared" si="89"/>
        <v>14.247763859160926</v>
      </c>
      <c r="CT30">
        <f t="shared" si="89"/>
        <v>25.633706875405483</v>
      </c>
      <c r="CU30">
        <f t="shared" si="89"/>
        <v>32.510793685331166</v>
      </c>
      <c r="CV30">
        <f t="shared" si="89"/>
        <v>28.348498364352658</v>
      </c>
      <c r="CW30">
        <f t="shared" si="89"/>
        <v>29.794500315072277</v>
      </c>
      <c r="DS30" s="1"/>
      <c r="DU30" s="3"/>
      <c r="EJ30" s="1"/>
    </row>
    <row r="31" spans="1:140" x14ac:dyDescent="0.35">
      <c r="A31" t="s">
        <v>112</v>
      </c>
      <c r="B31">
        <v>0</v>
      </c>
      <c r="C31">
        <v>0</v>
      </c>
      <c r="D31">
        <v>112</v>
      </c>
      <c r="E31">
        <v>2</v>
      </c>
      <c r="F31">
        <v>100</v>
      </c>
      <c r="G31">
        <v>33</v>
      </c>
      <c r="H31">
        <v>55</v>
      </c>
      <c r="I31">
        <v>53</v>
      </c>
      <c r="J31">
        <v>23</v>
      </c>
      <c r="K31">
        <v>12</v>
      </c>
      <c r="L31">
        <v>0</v>
      </c>
      <c r="M31">
        <v>0</v>
      </c>
      <c r="N31">
        <v>112</v>
      </c>
      <c r="O31">
        <v>2</v>
      </c>
      <c r="P31">
        <v>100</v>
      </c>
      <c r="Q31">
        <v>33</v>
      </c>
      <c r="R31">
        <v>55</v>
      </c>
      <c r="S31">
        <v>53</v>
      </c>
      <c r="T31">
        <v>23</v>
      </c>
      <c r="U31">
        <v>12</v>
      </c>
      <c r="V31">
        <v>0</v>
      </c>
      <c r="W31">
        <v>0</v>
      </c>
      <c r="X31">
        <v>112</v>
      </c>
      <c r="Y31">
        <v>2</v>
      </c>
      <c r="Z31">
        <v>100</v>
      </c>
      <c r="AA31">
        <v>33</v>
      </c>
      <c r="AB31">
        <v>55</v>
      </c>
      <c r="AC31">
        <v>53</v>
      </c>
      <c r="AD31">
        <v>23</v>
      </c>
      <c r="AE31">
        <v>12</v>
      </c>
      <c r="AF31">
        <v>0</v>
      </c>
      <c r="AG31">
        <v>0</v>
      </c>
      <c r="AH31">
        <v>112</v>
      </c>
      <c r="AI31">
        <v>2</v>
      </c>
      <c r="AJ31">
        <v>100</v>
      </c>
      <c r="AK31">
        <v>33</v>
      </c>
      <c r="AL31">
        <v>55</v>
      </c>
      <c r="AM31">
        <v>53</v>
      </c>
      <c r="AN31">
        <v>23</v>
      </c>
      <c r="AO31">
        <v>12</v>
      </c>
      <c r="AP31">
        <v>0</v>
      </c>
      <c r="AQ31">
        <v>0</v>
      </c>
      <c r="AR31">
        <v>112</v>
      </c>
      <c r="AS31">
        <v>2</v>
      </c>
      <c r="AT31">
        <v>100</v>
      </c>
      <c r="AU31">
        <v>33</v>
      </c>
      <c r="AV31">
        <v>55</v>
      </c>
      <c r="AW31">
        <v>53</v>
      </c>
      <c r="AX31">
        <v>23</v>
      </c>
      <c r="AY31">
        <v>12</v>
      </c>
      <c r="AZ31">
        <v>0</v>
      </c>
      <c r="BA31">
        <v>0</v>
      </c>
      <c r="BB31">
        <v>112</v>
      </c>
      <c r="BC31">
        <v>2</v>
      </c>
      <c r="BD31">
        <v>100</v>
      </c>
      <c r="BE31">
        <v>33</v>
      </c>
      <c r="BF31">
        <v>55</v>
      </c>
      <c r="BG31">
        <v>53</v>
      </c>
      <c r="BH31">
        <v>23</v>
      </c>
      <c r="BI31">
        <v>12</v>
      </c>
      <c r="BJ31">
        <v>0</v>
      </c>
      <c r="BK31">
        <v>0</v>
      </c>
      <c r="BL31">
        <v>112</v>
      </c>
      <c r="BM31">
        <v>2</v>
      </c>
      <c r="BN31">
        <v>100</v>
      </c>
      <c r="BO31">
        <v>33</v>
      </c>
      <c r="BP31">
        <v>55</v>
      </c>
      <c r="BQ31">
        <v>53</v>
      </c>
      <c r="BR31">
        <v>23</v>
      </c>
      <c r="BS31">
        <v>12</v>
      </c>
      <c r="BT31">
        <v>0</v>
      </c>
      <c r="BU31">
        <v>0</v>
      </c>
      <c r="BV31">
        <v>112</v>
      </c>
      <c r="BW31">
        <v>2</v>
      </c>
      <c r="BX31">
        <v>100</v>
      </c>
      <c r="BY31">
        <v>33</v>
      </c>
      <c r="BZ31">
        <v>55</v>
      </c>
      <c r="CA31">
        <v>53</v>
      </c>
      <c r="CB31">
        <v>23</v>
      </c>
      <c r="CC31">
        <v>12</v>
      </c>
      <c r="CD31">
        <v>0</v>
      </c>
      <c r="CE31">
        <v>0</v>
      </c>
      <c r="CF31">
        <v>112</v>
      </c>
      <c r="CG31">
        <v>2</v>
      </c>
      <c r="CH31">
        <v>100</v>
      </c>
      <c r="CI31">
        <v>33</v>
      </c>
      <c r="CJ31">
        <v>55</v>
      </c>
      <c r="CK31">
        <v>53</v>
      </c>
      <c r="CL31">
        <v>23</v>
      </c>
      <c r="CM31">
        <v>12</v>
      </c>
      <c r="CN31">
        <v>0</v>
      </c>
      <c r="CO31">
        <v>0</v>
      </c>
      <c r="CP31">
        <v>112</v>
      </c>
      <c r="CQ31">
        <v>2</v>
      </c>
      <c r="CR31">
        <v>100</v>
      </c>
      <c r="CS31">
        <v>33</v>
      </c>
      <c r="CT31">
        <v>55</v>
      </c>
      <c r="CU31">
        <v>53</v>
      </c>
      <c r="CV31">
        <v>23</v>
      </c>
      <c r="CW31">
        <v>12</v>
      </c>
      <c r="CX31" s="2">
        <f>$CW$32</f>
        <v>26.227294992425204</v>
      </c>
      <c r="CY31">
        <f t="shared" ref="CY31:DG31" si="90">$CW$32</f>
        <v>26.227294992425204</v>
      </c>
      <c r="CZ31">
        <f t="shared" si="90"/>
        <v>26.227294992425204</v>
      </c>
      <c r="DA31">
        <f t="shared" si="90"/>
        <v>26.227294992425204</v>
      </c>
      <c r="DB31">
        <f t="shared" si="90"/>
        <v>26.227294992425204</v>
      </c>
      <c r="DC31">
        <f t="shared" si="90"/>
        <v>26.227294992425204</v>
      </c>
      <c r="DD31">
        <f t="shared" si="90"/>
        <v>26.227294992425204</v>
      </c>
      <c r="DE31">
        <f t="shared" si="90"/>
        <v>26.227294992425204</v>
      </c>
      <c r="DF31">
        <f t="shared" si="90"/>
        <v>26.227294992425204</v>
      </c>
      <c r="DG31">
        <f t="shared" si="90"/>
        <v>26.227294992425204</v>
      </c>
      <c r="DI31">
        <f t="shared" ref="DI31:DR31" si="91">ABS(CX31-CX3)</f>
        <v>26.227294992425204</v>
      </c>
      <c r="DJ31">
        <f t="shared" si="91"/>
        <v>26.227294992425204</v>
      </c>
      <c r="DK31">
        <f t="shared" si="91"/>
        <v>85.7727050075748</v>
      </c>
      <c r="DL31">
        <f t="shared" si="91"/>
        <v>24.227294992425204</v>
      </c>
      <c r="DM31">
        <f t="shared" si="91"/>
        <v>73.7727050075748</v>
      </c>
      <c r="DN31">
        <f t="shared" si="91"/>
        <v>6.7727050075747961</v>
      </c>
      <c r="DO31">
        <f t="shared" si="91"/>
        <v>28.772705007574796</v>
      </c>
      <c r="DP31">
        <f t="shared" si="91"/>
        <v>26.772705007574796</v>
      </c>
      <c r="DQ31">
        <f t="shared" si="91"/>
        <v>3.2272949924252039</v>
      </c>
      <c r="DR31">
        <f t="shared" si="91"/>
        <v>14.227294992425204</v>
      </c>
      <c r="DS31" s="1">
        <f t="shared" si="36"/>
        <v>316</v>
      </c>
      <c r="DU31" s="3">
        <v>0.466610209767991</v>
      </c>
      <c r="DZ31">
        <f>ABS(CX31-CX$3)/MAX($B$3:$CW$3)</f>
        <v>0.23417227671808219</v>
      </c>
      <c r="EA31">
        <f t="shared" ref="EA31" si="92">ABS(CY31-CY$3)/MAX($B$3:$CW$3)</f>
        <v>0.23417227671808219</v>
      </c>
      <c r="EB31">
        <f t="shared" ref="EB31" si="93">ABS(CZ31-CZ$3)/MAX($B$3:$CW$3)</f>
        <v>0.76582772328191784</v>
      </c>
      <c r="EC31">
        <f t="shared" ref="EC31" si="94">ABS(DA31-DA$3)/MAX($B$3:$CW$3)</f>
        <v>0.21631513386093931</v>
      </c>
      <c r="ED31">
        <f t="shared" ref="ED31" si="95">ABS(DB31-DB$3)/MAX($B$3:$CW$3)</f>
        <v>0.65868486613906074</v>
      </c>
      <c r="EE31">
        <f t="shared" ref="EE31" si="96">ABS(DC31-DC$3)/MAX($B$3:$CW$3)</f>
        <v>6.0470580424774968E-2</v>
      </c>
      <c r="EF31">
        <f t="shared" ref="EF31" si="97">ABS(DD31-DD$3)/MAX($B$3:$CW$3)</f>
        <v>0.25689915185334639</v>
      </c>
      <c r="EG31">
        <f t="shared" ref="EG31" si="98">ABS(DE31-DE$3)/MAX($B$3:$CW$3)</f>
        <v>0.23904200899620354</v>
      </c>
      <c r="EH31">
        <f t="shared" ref="EH31" si="99">ABS(DF31-DF$3)/MAX($B$3:$CW$3)</f>
        <v>2.881513386093932E-2</v>
      </c>
      <c r="EI31">
        <f t="shared" ref="EI31" si="100">ABS(DG31-DG$3)/MAX($B$3:$CW$3)</f>
        <v>0.12702941957522504</v>
      </c>
      <c r="EJ31" s="1">
        <f t="shared" ref="EJ31" si="101">SUM(DZ31:EI31)</f>
        <v>2.8214285714285721</v>
      </c>
    </row>
    <row r="32" spans="1:140" x14ac:dyDescent="0.35">
      <c r="A32" t="s">
        <v>124</v>
      </c>
      <c r="B32">
        <f>B31</f>
        <v>0</v>
      </c>
      <c r="C32">
        <f>$DU$31*C31 + (1-$DU$31)*B32</f>
        <v>0</v>
      </c>
      <c r="D32">
        <f t="shared" ref="D32:BO32" si="102">$DU$31*D31 + (1-$DU$31)*C32</f>
        <v>52.26034349401499</v>
      </c>
      <c r="E32">
        <f t="shared" si="102"/>
        <v>28.808354073261377</v>
      </c>
      <c r="F32">
        <f t="shared" si="102"/>
        <v>62.027102912865431</v>
      </c>
      <c r="G32">
        <f t="shared" si="102"/>
        <v>48.482760333736231</v>
      </c>
      <c r="H32">
        <f t="shared" si="102"/>
        <v>51.523770901519839</v>
      </c>
      <c r="I32">
        <f t="shared" si="102"/>
        <v>52.212594470827284</v>
      </c>
      <c r="J32">
        <f t="shared" si="102"/>
        <v>38.581699636927311</v>
      </c>
      <c r="K32">
        <f t="shared" si="102"/>
        <v>26.178407193350932</v>
      </c>
      <c r="L32">
        <f t="shared" si="102"/>
        <v>13.963295121469571</v>
      </c>
      <c r="M32">
        <f t="shared" si="102"/>
        <v>7.4478790557882899</v>
      </c>
      <c r="N32">
        <f t="shared" si="102"/>
        <v>56.232966141255282</v>
      </c>
      <c r="O32">
        <f t="shared" si="102"/>
        <v>30.927310433743806</v>
      </c>
      <c r="P32">
        <f t="shared" si="102"/>
        <v>63.157332601493934</v>
      </c>
      <c r="Q32">
        <f t="shared" si="102"/>
        <v>49.085613310267782</v>
      </c>
      <c r="R32">
        <f t="shared" si="102"/>
        <v>51.845326524212751</v>
      </c>
      <c r="S32">
        <f t="shared" si="102"/>
        <v>52.384108956963374</v>
      </c>
      <c r="T32">
        <f t="shared" si="102"/>
        <v>38.673183712709196</v>
      </c>
      <c r="U32">
        <f t="shared" si="102"/>
        <v>26.227203865341799</v>
      </c>
      <c r="V32">
        <f t="shared" si="102"/>
        <v>13.989322768106799</v>
      </c>
      <c r="W32">
        <f t="shared" si="102"/>
        <v>7.4617619367683536</v>
      </c>
      <c r="X32">
        <f t="shared" si="102"/>
        <v>56.24037112822905</v>
      </c>
      <c r="Y32">
        <f t="shared" si="102"/>
        <v>30.931260178192414</v>
      </c>
      <c r="Z32">
        <f t="shared" si="102"/>
        <v>63.159439354856843</v>
      </c>
      <c r="AA32">
        <f t="shared" si="102"/>
        <v>49.086737031002095</v>
      </c>
      <c r="AB32">
        <f t="shared" si="102"/>
        <v>51.845925905379502</v>
      </c>
      <c r="AC32">
        <f t="shared" si="102"/>
        <v>52.384428660758182</v>
      </c>
      <c r="AD32">
        <f t="shared" si="102"/>
        <v>38.673354239449246</v>
      </c>
      <c r="AE32">
        <f t="shared" si="102"/>
        <v>26.227294822563902</v>
      </c>
      <c r="AF32">
        <f t="shared" si="102"/>
        <v>13.989371283760416</v>
      </c>
      <c r="AG32">
        <f t="shared" si="102"/>
        <v>7.4617878145226593</v>
      </c>
      <c r="AH32">
        <f t="shared" si="102"/>
        <v>56.240384931158992</v>
      </c>
      <c r="AI32">
        <f t="shared" si="102"/>
        <v>30.931267540534318</v>
      </c>
      <c r="AJ32">
        <f t="shared" si="102"/>
        <v>63.159443281854848</v>
      </c>
      <c r="AK32">
        <f t="shared" si="102"/>
        <v>49.086739125622735</v>
      </c>
      <c r="AL32">
        <f t="shared" si="102"/>
        <v>51.845927022628771</v>
      </c>
      <c r="AM32">
        <f t="shared" si="102"/>
        <v>52.38442925668754</v>
      </c>
      <c r="AN32">
        <f t="shared" si="102"/>
        <v>38.673354557311882</v>
      </c>
      <c r="AO32">
        <f t="shared" si="102"/>
        <v>26.22729499210859</v>
      </c>
      <c r="AP32">
        <f t="shared" si="102"/>
        <v>13.989371374193823</v>
      </c>
      <c r="AQ32">
        <f t="shared" si="102"/>
        <v>7.4617878627589151</v>
      </c>
      <c r="AR32">
        <f t="shared" si="102"/>
        <v>56.240384956887716</v>
      </c>
      <c r="AS32">
        <f t="shared" si="102"/>
        <v>30.931267554257758</v>
      </c>
      <c r="AT32">
        <f t="shared" si="102"/>
        <v>63.159443289174796</v>
      </c>
      <c r="AU32">
        <f t="shared" si="102"/>
        <v>49.086739129527118</v>
      </c>
      <c r="AV32">
        <f t="shared" si="102"/>
        <v>51.84592702471133</v>
      </c>
      <c r="AW32">
        <f t="shared" si="102"/>
        <v>52.384429257798345</v>
      </c>
      <c r="AX32">
        <f t="shared" si="102"/>
        <v>38.673354557904368</v>
      </c>
      <c r="AY32">
        <f t="shared" si="102"/>
        <v>26.227294992424614</v>
      </c>
      <c r="AZ32">
        <f t="shared" si="102"/>
        <v>13.989371374362387</v>
      </c>
      <c r="BA32">
        <f t="shared" si="102"/>
        <v>7.4617878628488254</v>
      </c>
      <c r="BB32">
        <f t="shared" si="102"/>
        <v>56.240384956935678</v>
      </c>
      <c r="BC32">
        <f t="shared" si="102"/>
        <v>30.931267554283341</v>
      </c>
      <c r="BD32">
        <f t="shared" si="102"/>
        <v>63.159443289188445</v>
      </c>
      <c r="BE32">
        <f t="shared" si="102"/>
        <v>49.086739129534401</v>
      </c>
      <c r="BF32">
        <f t="shared" si="102"/>
        <v>51.845927024715209</v>
      </c>
      <c r="BG32">
        <f t="shared" si="102"/>
        <v>52.38442925780042</v>
      </c>
      <c r="BH32">
        <f t="shared" si="102"/>
        <v>38.673354557905476</v>
      </c>
      <c r="BI32">
        <f t="shared" si="102"/>
        <v>26.227294992425204</v>
      </c>
      <c r="BJ32">
        <f t="shared" si="102"/>
        <v>13.989371374362701</v>
      </c>
      <c r="BK32">
        <f t="shared" si="102"/>
        <v>7.4617878628489933</v>
      </c>
      <c r="BL32">
        <f t="shared" si="102"/>
        <v>56.240384956935763</v>
      </c>
      <c r="BM32">
        <f t="shared" si="102"/>
        <v>30.931267554283387</v>
      </c>
      <c r="BN32">
        <f t="shared" si="102"/>
        <v>63.159443289188459</v>
      </c>
      <c r="BO32">
        <f t="shared" si="102"/>
        <v>49.086739129534408</v>
      </c>
      <c r="BP32">
        <f t="shared" ref="BP32:CW32" si="103">$DU$31*BP31 + (1-$DU$31)*BO32</f>
        <v>51.845927024715209</v>
      </c>
      <c r="BQ32">
        <f t="shared" si="103"/>
        <v>52.38442925780042</v>
      </c>
      <c r="BR32">
        <f t="shared" si="103"/>
        <v>38.673354557905476</v>
      </c>
      <c r="BS32">
        <f t="shared" si="103"/>
        <v>26.227294992425204</v>
      </c>
      <c r="BT32">
        <f t="shared" si="103"/>
        <v>13.989371374362701</v>
      </c>
      <c r="BU32">
        <f t="shared" si="103"/>
        <v>7.4617878628489933</v>
      </c>
      <c r="BV32">
        <f t="shared" si="103"/>
        <v>56.240384956935763</v>
      </c>
      <c r="BW32">
        <f t="shared" si="103"/>
        <v>30.931267554283387</v>
      </c>
      <c r="BX32">
        <f t="shared" si="103"/>
        <v>63.159443289188459</v>
      </c>
      <c r="BY32">
        <f t="shared" si="103"/>
        <v>49.086739129534408</v>
      </c>
      <c r="BZ32">
        <f t="shared" si="103"/>
        <v>51.845927024715209</v>
      </c>
      <c r="CA32">
        <f t="shared" si="103"/>
        <v>52.38442925780042</v>
      </c>
      <c r="CB32">
        <f t="shared" si="103"/>
        <v>38.673354557905476</v>
      </c>
      <c r="CC32">
        <f t="shared" si="103"/>
        <v>26.227294992425204</v>
      </c>
      <c r="CD32">
        <f t="shared" si="103"/>
        <v>13.989371374362701</v>
      </c>
      <c r="CE32">
        <f t="shared" si="103"/>
        <v>7.4617878628489933</v>
      </c>
      <c r="CF32">
        <f t="shared" si="103"/>
        <v>56.240384956935763</v>
      </c>
      <c r="CG32">
        <f t="shared" si="103"/>
        <v>30.931267554283387</v>
      </c>
      <c r="CH32">
        <f t="shared" si="103"/>
        <v>63.159443289188459</v>
      </c>
      <c r="CI32">
        <f t="shared" si="103"/>
        <v>49.086739129534408</v>
      </c>
      <c r="CJ32">
        <f t="shared" si="103"/>
        <v>51.845927024715209</v>
      </c>
      <c r="CK32">
        <f t="shared" si="103"/>
        <v>52.38442925780042</v>
      </c>
      <c r="CL32">
        <f t="shared" si="103"/>
        <v>38.673354557905476</v>
      </c>
      <c r="CM32">
        <f t="shared" si="103"/>
        <v>26.227294992425204</v>
      </c>
      <c r="CN32">
        <f t="shared" si="103"/>
        <v>13.989371374362701</v>
      </c>
      <c r="CO32">
        <f t="shared" si="103"/>
        <v>7.4617878628489933</v>
      </c>
      <c r="CP32">
        <f t="shared" si="103"/>
        <v>56.240384956935763</v>
      </c>
      <c r="CQ32">
        <f t="shared" si="103"/>
        <v>30.931267554283387</v>
      </c>
      <c r="CR32">
        <f t="shared" si="103"/>
        <v>63.159443289188459</v>
      </c>
      <c r="CS32">
        <f t="shared" si="103"/>
        <v>49.086739129534408</v>
      </c>
      <c r="CT32">
        <f t="shared" si="103"/>
        <v>51.845927024715209</v>
      </c>
      <c r="CU32">
        <f t="shared" si="103"/>
        <v>52.38442925780042</v>
      </c>
      <c r="CV32">
        <f t="shared" si="103"/>
        <v>38.673354557905476</v>
      </c>
      <c r="CW32">
        <f t="shared" si="103"/>
        <v>26.227294992425204</v>
      </c>
      <c r="DS32" s="1"/>
      <c r="DU32" s="3"/>
      <c r="EJ32" s="1"/>
    </row>
    <row r="33" spans="1:140" x14ac:dyDescent="0.35">
      <c r="A33" t="s">
        <v>113</v>
      </c>
      <c r="B33">
        <v>916</v>
      </c>
      <c r="C33">
        <v>939</v>
      </c>
      <c r="D33">
        <v>305</v>
      </c>
      <c r="E33">
        <v>952</v>
      </c>
      <c r="F33">
        <v>128</v>
      </c>
      <c r="G33">
        <v>81</v>
      </c>
      <c r="H33">
        <v>908</v>
      </c>
      <c r="I33">
        <v>744</v>
      </c>
      <c r="J33">
        <v>333</v>
      </c>
      <c r="K33">
        <v>862</v>
      </c>
      <c r="L33">
        <v>606</v>
      </c>
      <c r="M33">
        <v>352</v>
      </c>
      <c r="N33">
        <v>233</v>
      </c>
      <c r="O33">
        <v>502</v>
      </c>
      <c r="P33">
        <v>693</v>
      </c>
      <c r="Q33">
        <v>828</v>
      </c>
      <c r="R33">
        <v>189</v>
      </c>
      <c r="S33">
        <v>89</v>
      </c>
      <c r="T33">
        <v>705</v>
      </c>
      <c r="U33">
        <v>486</v>
      </c>
      <c r="V33">
        <v>142</v>
      </c>
      <c r="W33">
        <v>575</v>
      </c>
      <c r="X33">
        <v>972</v>
      </c>
      <c r="Y33">
        <v>222</v>
      </c>
      <c r="Z33">
        <v>593</v>
      </c>
      <c r="AA33">
        <v>259</v>
      </c>
      <c r="AB33">
        <v>492</v>
      </c>
      <c r="AC33">
        <v>227</v>
      </c>
      <c r="AD33">
        <v>195</v>
      </c>
      <c r="AE33">
        <v>374</v>
      </c>
      <c r="AF33">
        <v>539</v>
      </c>
      <c r="AG33">
        <v>2</v>
      </c>
      <c r="AH33">
        <v>865</v>
      </c>
      <c r="AI33">
        <v>308</v>
      </c>
      <c r="AJ33">
        <v>118</v>
      </c>
      <c r="AK33">
        <v>126</v>
      </c>
      <c r="AL33">
        <v>881</v>
      </c>
      <c r="AM33">
        <v>126</v>
      </c>
      <c r="AN33">
        <v>645</v>
      </c>
      <c r="AO33">
        <v>868</v>
      </c>
      <c r="AP33">
        <v>943</v>
      </c>
      <c r="AQ33">
        <v>483</v>
      </c>
      <c r="AR33">
        <v>701</v>
      </c>
      <c r="AS33">
        <v>190</v>
      </c>
      <c r="AT33">
        <v>251</v>
      </c>
      <c r="AU33">
        <v>872</v>
      </c>
      <c r="AV33">
        <v>905</v>
      </c>
      <c r="AW33">
        <v>632</v>
      </c>
      <c r="AX33">
        <v>842</v>
      </c>
      <c r="AY33">
        <v>42</v>
      </c>
      <c r="AZ33">
        <v>517</v>
      </c>
      <c r="BA33">
        <v>950</v>
      </c>
      <c r="BB33">
        <v>891</v>
      </c>
      <c r="BC33">
        <v>536</v>
      </c>
      <c r="BD33">
        <v>462</v>
      </c>
      <c r="BE33">
        <v>916</v>
      </c>
      <c r="BF33">
        <v>939</v>
      </c>
      <c r="BG33">
        <v>305</v>
      </c>
      <c r="BH33">
        <v>952</v>
      </c>
      <c r="BI33">
        <v>128</v>
      </c>
      <c r="BJ33">
        <v>81</v>
      </c>
      <c r="BK33">
        <v>908</v>
      </c>
      <c r="BL33">
        <v>744</v>
      </c>
      <c r="BM33">
        <v>333</v>
      </c>
      <c r="BN33">
        <v>862</v>
      </c>
      <c r="BO33">
        <v>606</v>
      </c>
      <c r="BP33">
        <v>352</v>
      </c>
      <c r="BQ33">
        <v>233</v>
      </c>
      <c r="BR33">
        <v>502</v>
      </c>
      <c r="BS33">
        <v>693</v>
      </c>
      <c r="BT33">
        <v>828</v>
      </c>
      <c r="BU33">
        <v>189</v>
      </c>
      <c r="BV33">
        <v>89</v>
      </c>
      <c r="BW33">
        <v>705</v>
      </c>
      <c r="BX33">
        <v>486</v>
      </c>
      <c r="BY33">
        <v>142</v>
      </c>
      <c r="BZ33">
        <v>575</v>
      </c>
      <c r="CA33">
        <v>972</v>
      </c>
      <c r="CB33">
        <v>222</v>
      </c>
      <c r="CC33">
        <v>593</v>
      </c>
      <c r="CD33">
        <v>259</v>
      </c>
      <c r="CE33">
        <v>492</v>
      </c>
      <c r="CF33">
        <v>227</v>
      </c>
      <c r="CG33">
        <v>195</v>
      </c>
      <c r="CH33">
        <v>374</v>
      </c>
      <c r="CI33">
        <v>539</v>
      </c>
      <c r="CJ33">
        <v>2</v>
      </c>
      <c r="CK33">
        <v>865</v>
      </c>
      <c r="CL33">
        <v>308</v>
      </c>
      <c r="CM33">
        <v>118</v>
      </c>
      <c r="CN33">
        <v>126</v>
      </c>
      <c r="CO33">
        <v>881</v>
      </c>
      <c r="CP33">
        <v>126</v>
      </c>
      <c r="CQ33">
        <v>645</v>
      </c>
      <c r="CR33">
        <v>868</v>
      </c>
      <c r="CS33">
        <v>943</v>
      </c>
      <c r="CT33">
        <v>483</v>
      </c>
      <c r="CU33">
        <v>701</v>
      </c>
      <c r="CV33">
        <v>190</v>
      </c>
      <c r="CW33">
        <v>251</v>
      </c>
      <c r="CX33" s="2">
        <f>$CW$34</f>
        <v>658.19622471474372</v>
      </c>
      <c r="CY33">
        <f t="shared" ref="CY33:DG33" si="104">$CW$34</f>
        <v>658.19622471474372</v>
      </c>
      <c r="CZ33">
        <f t="shared" si="104"/>
        <v>658.19622471474372</v>
      </c>
      <c r="DA33">
        <f t="shared" si="104"/>
        <v>658.19622471474372</v>
      </c>
      <c r="DB33">
        <f t="shared" si="104"/>
        <v>658.19622471474372</v>
      </c>
      <c r="DC33">
        <f t="shared" si="104"/>
        <v>658.19622471474372</v>
      </c>
      <c r="DD33">
        <f t="shared" si="104"/>
        <v>658.19622471474372</v>
      </c>
      <c r="DE33">
        <f t="shared" si="104"/>
        <v>658.19622471474372</v>
      </c>
      <c r="DF33">
        <f t="shared" si="104"/>
        <v>658.19622471474372</v>
      </c>
      <c r="DG33">
        <f t="shared" si="104"/>
        <v>658.19622471474372</v>
      </c>
      <c r="DI33">
        <f t="shared" ref="DI33:DR33" si="105">ABS(CX33-CX4)</f>
        <v>213.80377528525628</v>
      </c>
      <c r="DJ33">
        <f t="shared" si="105"/>
        <v>246.80377528525628</v>
      </c>
      <c r="DK33">
        <f t="shared" si="105"/>
        <v>26.196224714743721</v>
      </c>
      <c r="DL33">
        <f t="shared" si="105"/>
        <v>183.80377528525628</v>
      </c>
      <c r="DM33">
        <f t="shared" si="105"/>
        <v>616.19622471474372</v>
      </c>
      <c r="DN33">
        <f t="shared" si="105"/>
        <v>141.19622471474372</v>
      </c>
      <c r="DO33">
        <f t="shared" si="105"/>
        <v>291.80377528525628</v>
      </c>
      <c r="DP33">
        <f t="shared" si="105"/>
        <v>232.80377528525628</v>
      </c>
      <c r="DQ33">
        <f t="shared" si="105"/>
        <v>122.19622471474372</v>
      </c>
      <c r="DR33">
        <f t="shared" si="105"/>
        <v>196.19622471474372</v>
      </c>
      <c r="DS33" s="1">
        <f t="shared" si="36"/>
        <v>2271</v>
      </c>
      <c r="DU33" s="3">
        <v>9.6064796716004968E-3</v>
      </c>
      <c r="DZ33">
        <f>ABS(CX33-CX$4)/MAX($B$4:$CW$4)</f>
        <v>0.21996273177495501</v>
      </c>
      <c r="EA33">
        <f t="shared" ref="EA33" si="106">ABS(CY33-CY$4)/MAX($B$4:$CW$4)</f>
        <v>0.25391334905890561</v>
      </c>
      <c r="EB33">
        <f t="shared" ref="EB33" si="107">ABS(CZ33-CZ$4)/MAX($B$4:$CW$4)</f>
        <v>2.6950848471958562E-2</v>
      </c>
      <c r="EC33">
        <f t="shared" ref="EC33" si="108">ABS(DA33-DA$4)/MAX($B$4:$CW$4)</f>
        <v>0.18909853424409082</v>
      </c>
      <c r="ED33">
        <f t="shared" ref="ED33" si="109">ABS(DB33-DB$4)/MAX($B$4:$CW$4)</f>
        <v>0.63394673324562112</v>
      </c>
      <c r="EE33">
        <f t="shared" ref="EE33" si="110">ABS(DC33-DC$4)/MAX($B$4:$CW$4)</f>
        <v>0.14526360567360466</v>
      </c>
      <c r="EF33">
        <f t="shared" ref="EF33" si="111">ABS(DD33-DD$4)/MAX($B$4:$CW$4)</f>
        <v>0.30020964535520195</v>
      </c>
      <c r="EG33">
        <f t="shared" ref="EG33" si="112">ABS(DE33-DE$4)/MAX($B$4:$CW$4)</f>
        <v>0.23951005687783566</v>
      </c>
      <c r="EH33">
        <f t="shared" ref="EH33" si="113">ABS(DF33-DF$4)/MAX($B$4:$CW$4)</f>
        <v>0.12571628057072398</v>
      </c>
      <c r="EI33">
        <f t="shared" ref="EI33" si="114">ABS(DG33-DG$4)/MAX($B$4:$CW$4)</f>
        <v>0.20184796781352235</v>
      </c>
      <c r="EJ33" s="1">
        <f t="shared" ref="EJ33" si="115">SUM(DZ33:EI33)</f>
        <v>2.3364197530864201</v>
      </c>
    </row>
    <row r="34" spans="1:140" x14ac:dyDescent="0.35">
      <c r="A34" t="s">
        <v>125</v>
      </c>
      <c r="B34">
        <f>B33</f>
        <v>916</v>
      </c>
      <c r="C34">
        <f>$DU$33*C33 + (1-$DU$33)*B34</f>
        <v>916.22094903244692</v>
      </c>
      <c r="D34">
        <f t="shared" ref="D34:BO34" si="116">$DU$33*D33 + (1-$DU$33)*C34</f>
        <v>910.34926741071035</v>
      </c>
      <c r="E34">
        <f t="shared" si="116"/>
        <v>910.74938432663669</v>
      </c>
      <c r="F34">
        <f t="shared" si="116"/>
        <v>903.22991827814519</v>
      </c>
      <c r="G34">
        <f t="shared" si="116"/>
        <v>895.33118328282444</v>
      </c>
      <c r="H34">
        <f t="shared" si="116"/>
        <v>895.4528860130813</v>
      </c>
      <c r="I34">
        <f t="shared" si="116"/>
        <v>893.9979569423914</v>
      </c>
      <c r="J34">
        <f t="shared" si="116"/>
        <v>888.60874147321499</v>
      </c>
      <c r="K34">
        <f t="shared" si="116"/>
        <v>888.35312513916574</v>
      </c>
      <c r="L34">
        <f t="shared" si="116"/>
        <v>885.64070558230355</v>
      </c>
      <c r="M34">
        <f t="shared" si="116"/>
        <v>880.51429699218875</v>
      </c>
      <c r="N34">
        <f t="shared" si="116"/>
        <v>874.29396406106264</v>
      </c>
      <c r="O34">
        <f t="shared" si="116"/>
        <v>870.71752966345059</v>
      </c>
      <c r="P34">
        <f t="shared" si="116"/>
        <v>869.01028982745163</v>
      </c>
      <c r="Q34">
        <f t="shared" si="116"/>
        <v>868.61632531189775</v>
      </c>
      <c r="R34">
        <f t="shared" si="116"/>
        <v>862.08760489830127</v>
      </c>
      <c r="S34">
        <f t="shared" si="116"/>
        <v>854.66095453747948</v>
      </c>
      <c r="T34">
        <f t="shared" si="116"/>
        <v>853.22323962008284</v>
      </c>
      <c r="U34">
        <f t="shared" si="116"/>
        <v>849.69551703373327</v>
      </c>
      <c r="V34">
        <f t="shared" si="116"/>
        <v>842.89705443566595</v>
      </c>
      <c r="W34">
        <f t="shared" si="116"/>
        <v>840.32350682814808</v>
      </c>
      <c r="X34">
        <f t="shared" si="116"/>
        <v>841.58845438303115</v>
      </c>
      <c r="Y34">
        <f t="shared" si="116"/>
        <v>835.6363904912422</v>
      </c>
      <c r="Z34">
        <f t="shared" si="116"/>
        <v>833.30550893839757</v>
      </c>
      <c r="AA34">
        <f t="shared" si="116"/>
        <v>827.78845474149273</v>
      </c>
      <c r="AB34">
        <f t="shared" si="116"/>
        <v>824.56270977706049</v>
      </c>
      <c r="AC34">
        <f t="shared" si="116"/>
        <v>818.82223575308069</v>
      </c>
      <c r="AD34">
        <f t="shared" si="116"/>
        <v>812.82950012662639</v>
      </c>
      <c r="AE34">
        <f t="shared" si="116"/>
        <v>808.61389345436135</v>
      </c>
      <c r="AF34">
        <f t="shared" si="116"/>
        <v>806.023853067711</v>
      </c>
      <c r="AG34">
        <f t="shared" si="116"/>
        <v>798.30001426773424</v>
      </c>
      <c r="AH34">
        <f t="shared" si="116"/>
        <v>798.94076632476731</v>
      </c>
      <c r="AI34">
        <f t="shared" si="116"/>
        <v>794.22455383310853</v>
      </c>
      <c r="AJ34">
        <f t="shared" si="116"/>
        <v>787.72841640327374</v>
      </c>
      <c r="AK34">
        <f t="shared" si="116"/>
        <v>781.37153582297537</v>
      </c>
      <c r="AL34">
        <f t="shared" si="116"/>
        <v>782.32861463880477</v>
      </c>
      <c r="AM34">
        <f t="shared" si="116"/>
        <v>776.02360714438748</v>
      </c>
      <c r="AN34">
        <f t="shared" si="116"/>
        <v>774.76493152585522</v>
      </c>
      <c r="AO34">
        <f t="shared" si="116"/>
        <v>775.66059231583245</v>
      </c>
      <c r="AP34">
        <f t="shared" si="116"/>
        <v>777.26813493400812</v>
      </c>
      <c r="AQ34">
        <f t="shared" si="116"/>
        <v>774.44125407776482</v>
      </c>
      <c r="AR34">
        <f t="shared" si="116"/>
        <v>773.73574216341001</v>
      </c>
      <c r="AS34">
        <f t="shared" si="116"/>
        <v>768.1280966227306</v>
      </c>
      <c r="AT34">
        <f t="shared" si="116"/>
        <v>763.16031607491084</v>
      </c>
      <c r="AU34">
        <f t="shared" si="116"/>
        <v>764.2058822860007</v>
      </c>
      <c r="AV34">
        <f t="shared" si="116"/>
        <v>765.55841811570122</v>
      </c>
      <c r="AW34">
        <f t="shared" si="116"/>
        <v>764.2753918871017</v>
      </c>
      <c r="AX34">
        <f t="shared" si="116"/>
        <v>765.02205175492145</v>
      </c>
      <c r="AY34">
        <f t="shared" si="116"/>
        <v>758.07635511261901</v>
      </c>
      <c r="AZ34">
        <f t="shared" si="116"/>
        <v>755.7604600079261</v>
      </c>
      <c r="BA34">
        <f t="shared" si="116"/>
        <v>757.62641820028102</v>
      </c>
      <c r="BB34">
        <f t="shared" si="116"/>
        <v>758.90766880256854</v>
      </c>
      <c r="BC34">
        <f t="shared" si="116"/>
        <v>756.76631081357289</v>
      </c>
      <c r="BD34">
        <f t="shared" si="116"/>
        <v>753.93464424086972</v>
      </c>
      <c r="BE34">
        <f t="shared" si="116"/>
        <v>755.49152178644056</v>
      </c>
      <c r="BF34">
        <f t="shared" si="116"/>
        <v>757.25439225196556</v>
      </c>
      <c r="BG34">
        <f t="shared" si="116"/>
        <v>752.90981962640501</v>
      </c>
      <c r="BH34">
        <f t="shared" si="116"/>
        <v>754.82237539697917</v>
      </c>
      <c r="BI34">
        <f t="shared" si="116"/>
        <v>748.8008189900238</v>
      </c>
      <c r="BJ34">
        <f t="shared" si="116"/>
        <v>742.38560399771802</v>
      </c>
      <c r="BK34">
        <f t="shared" si="116"/>
        <v>743.97657532623839</v>
      </c>
      <c r="BL34">
        <f t="shared" si="116"/>
        <v>743.97680035489077</v>
      </c>
      <c r="BM34">
        <f t="shared" si="116"/>
        <v>740.02876007678219</v>
      </c>
      <c r="BN34">
        <f t="shared" si="116"/>
        <v>741.20047431362457</v>
      </c>
      <c r="BO34">
        <f t="shared" si="116"/>
        <v>739.90167370554002</v>
      </c>
      <c r="BP34">
        <f t="shared" ref="BP34:CW34" si="117">$DU$33*BP33 + (1-$DU$33)*BO34</f>
        <v>736.17530416250804</v>
      </c>
      <c r="BQ34">
        <f t="shared" si="117"/>
        <v>731.34156083181949</v>
      </c>
      <c r="BR34">
        <f t="shared" si="117"/>
        <v>729.13839578983561</v>
      </c>
      <c r="BS34">
        <f t="shared" si="117"/>
        <v>728.79123302531627</v>
      </c>
      <c r="BT34">
        <f t="shared" si="117"/>
        <v>729.74428002850311</v>
      </c>
      <c r="BU34">
        <f t="shared" si="117"/>
        <v>724.54963109487517</v>
      </c>
      <c r="BV34">
        <f t="shared" si="117"/>
        <v>718.44423648346913</v>
      </c>
      <c r="BW34">
        <f t="shared" si="117"/>
        <v>718.31508469899052</v>
      </c>
      <c r="BX34">
        <f t="shared" si="117"/>
        <v>716.08335456042357</v>
      </c>
      <c r="BY34">
        <f t="shared" si="117"/>
        <v>710.56843448503469</v>
      </c>
      <c r="BZ34">
        <f t="shared" si="117"/>
        <v>709.26609907504348</v>
      </c>
      <c r="CA34">
        <f t="shared" si="117"/>
        <v>711.79004695331935</v>
      </c>
      <c r="CB34">
        <f t="shared" si="117"/>
        <v>707.08488882391009</v>
      </c>
      <c r="CC34">
        <f t="shared" si="117"/>
        <v>705.98893465858634</v>
      </c>
      <c r="CD34">
        <f t="shared" si="117"/>
        <v>701.69494454435824</v>
      </c>
      <c r="CE34">
        <f t="shared" si="117"/>
        <v>699.68051432235552</v>
      </c>
      <c r="CF34">
        <f t="shared" si="117"/>
        <v>695.13971857035619</v>
      </c>
      <c r="CG34">
        <f t="shared" si="117"/>
        <v>690.33513653095008</v>
      </c>
      <c r="CH34">
        <f t="shared" si="117"/>
        <v>687.29626947245254</v>
      </c>
      <c r="CI34">
        <f t="shared" si="117"/>
        <v>685.87166437439134</v>
      </c>
      <c r="CJ34">
        <f t="shared" si="117"/>
        <v>679.3020651325952</v>
      </c>
      <c r="CK34">
        <f t="shared" si="117"/>
        <v>681.08596856895713</v>
      </c>
      <c r="CL34">
        <f t="shared" si="117"/>
        <v>677.50192579614009</v>
      </c>
      <c r="CM34">
        <f t="shared" si="117"/>
        <v>672.12708191975821</v>
      </c>
      <c r="CN34">
        <f t="shared" si="117"/>
        <v>666.88072320918559</v>
      </c>
      <c r="CO34">
        <f t="shared" si="117"/>
        <v>668.93765568897447</v>
      </c>
      <c r="CP34">
        <f t="shared" si="117"/>
        <v>663.72193613665195</v>
      </c>
      <c r="CQ34">
        <f t="shared" si="117"/>
        <v>663.5420842377423</v>
      </c>
      <c r="CR34">
        <f t="shared" si="117"/>
        <v>665.50620504921028</v>
      </c>
      <c r="CS34">
        <f t="shared" si="117"/>
        <v>668.17194354940034</v>
      </c>
      <c r="CT34">
        <f t="shared" si="117"/>
        <v>666.39309303794232</v>
      </c>
      <c r="CU34">
        <f t="shared" si="117"/>
        <v>666.72554358617037</v>
      </c>
      <c r="CV34">
        <f t="shared" si="117"/>
        <v>662.1458893427772</v>
      </c>
      <c r="CW34">
        <f t="shared" si="117"/>
        <v>658.19622471474372</v>
      </c>
      <c r="DS34" s="1"/>
      <c r="DU34" s="3"/>
      <c r="EJ34" s="1"/>
    </row>
    <row r="35" spans="1:140" x14ac:dyDescent="0.35">
      <c r="A35" t="s">
        <v>114</v>
      </c>
      <c r="B35">
        <v>77</v>
      </c>
      <c r="C35">
        <v>322</v>
      </c>
      <c r="D35">
        <v>260</v>
      </c>
      <c r="E35">
        <v>233</v>
      </c>
      <c r="F35">
        <v>284</v>
      </c>
      <c r="G35">
        <v>399</v>
      </c>
      <c r="H35">
        <v>370</v>
      </c>
      <c r="I35">
        <v>209</v>
      </c>
      <c r="J35">
        <v>368</v>
      </c>
      <c r="K35">
        <v>240</v>
      </c>
      <c r="L35">
        <v>350</v>
      </c>
      <c r="M35">
        <v>402</v>
      </c>
      <c r="N35">
        <v>343</v>
      </c>
      <c r="O35">
        <v>204</v>
      </c>
      <c r="P35">
        <v>298</v>
      </c>
      <c r="Q35">
        <v>226</v>
      </c>
      <c r="R35">
        <v>235</v>
      </c>
      <c r="S35">
        <v>4</v>
      </c>
      <c r="T35">
        <v>478</v>
      </c>
      <c r="U35">
        <v>174</v>
      </c>
      <c r="V35">
        <v>451</v>
      </c>
      <c r="W35">
        <v>295</v>
      </c>
      <c r="X35">
        <v>77</v>
      </c>
      <c r="Y35">
        <v>322</v>
      </c>
      <c r="Z35">
        <v>260</v>
      </c>
      <c r="AA35">
        <v>233</v>
      </c>
      <c r="AB35">
        <v>284</v>
      </c>
      <c r="AC35">
        <v>399</v>
      </c>
      <c r="AD35">
        <v>370</v>
      </c>
      <c r="AE35">
        <v>209</v>
      </c>
      <c r="AF35">
        <v>368</v>
      </c>
      <c r="AG35">
        <v>240</v>
      </c>
      <c r="AH35">
        <v>350</v>
      </c>
      <c r="AI35">
        <v>402</v>
      </c>
      <c r="AJ35">
        <v>343</v>
      </c>
      <c r="AK35">
        <v>204</v>
      </c>
      <c r="AL35">
        <v>298</v>
      </c>
      <c r="AM35">
        <v>226</v>
      </c>
      <c r="AN35">
        <v>235</v>
      </c>
      <c r="AO35">
        <v>4</v>
      </c>
      <c r="AP35">
        <v>478</v>
      </c>
      <c r="AQ35">
        <v>174</v>
      </c>
      <c r="AR35">
        <v>451</v>
      </c>
      <c r="AS35">
        <v>295</v>
      </c>
      <c r="AT35">
        <v>77</v>
      </c>
      <c r="AU35">
        <v>322</v>
      </c>
      <c r="AV35">
        <v>260</v>
      </c>
      <c r="AW35">
        <v>233</v>
      </c>
      <c r="AX35">
        <v>284</v>
      </c>
      <c r="AY35">
        <v>399</v>
      </c>
      <c r="AZ35">
        <v>370</v>
      </c>
      <c r="BA35">
        <v>209</v>
      </c>
      <c r="BB35">
        <v>368</v>
      </c>
      <c r="BC35">
        <v>240</v>
      </c>
      <c r="BD35">
        <v>350</v>
      </c>
      <c r="BE35">
        <v>402</v>
      </c>
      <c r="BF35">
        <v>343</v>
      </c>
      <c r="BG35">
        <v>204</v>
      </c>
      <c r="BH35">
        <v>298</v>
      </c>
      <c r="BI35">
        <v>226</v>
      </c>
      <c r="BJ35">
        <v>235</v>
      </c>
      <c r="BK35">
        <v>4</v>
      </c>
      <c r="BL35">
        <v>478</v>
      </c>
      <c r="BM35">
        <v>174</v>
      </c>
      <c r="BN35">
        <v>451</v>
      </c>
      <c r="BO35">
        <v>295</v>
      </c>
      <c r="BP35">
        <v>77</v>
      </c>
      <c r="BQ35">
        <v>322</v>
      </c>
      <c r="BR35">
        <v>260</v>
      </c>
      <c r="BS35">
        <v>233</v>
      </c>
      <c r="BT35">
        <v>284</v>
      </c>
      <c r="BU35">
        <v>399</v>
      </c>
      <c r="BV35">
        <v>370</v>
      </c>
      <c r="BW35">
        <v>209</v>
      </c>
      <c r="BX35">
        <v>368</v>
      </c>
      <c r="BY35">
        <v>240</v>
      </c>
      <c r="BZ35">
        <v>350</v>
      </c>
      <c r="CA35">
        <v>402</v>
      </c>
      <c r="CB35">
        <v>343</v>
      </c>
      <c r="CC35">
        <v>204</v>
      </c>
      <c r="CD35">
        <v>298</v>
      </c>
      <c r="CE35">
        <v>226</v>
      </c>
      <c r="CF35">
        <v>235</v>
      </c>
      <c r="CG35">
        <v>4</v>
      </c>
      <c r="CH35">
        <v>478</v>
      </c>
      <c r="CI35">
        <v>174</v>
      </c>
      <c r="CJ35">
        <v>451</v>
      </c>
      <c r="CK35">
        <v>295</v>
      </c>
      <c r="CL35">
        <v>77</v>
      </c>
      <c r="CM35">
        <v>322</v>
      </c>
      <c r="CN35">
        <v>260</v>
      </c>
      <c r="CO35">
        <v>233</v>
      </c>
      <c r="CP35">
        <v>284</v>
      </c>
      <c r="CQ35">
        <v>399</v>
      </c>
      <c r="CR35">
        <v>370</v>
      </c>
      <c r="CS35">
        <v>209</v>
      </c>
      <c r="CT35">
        <v>368</v>
      </c>
      <c r="CU35">
        <v>240</v>
      </c>
      <c r="CV35">
        <v>350</v>
      </c>
      <c r="CW35">
        <v>402</v>
      </c>
      <c r="CX35" s="2">
        <f>$CW$36</f>
        <v>271.79269202273753</v>
      </c>
      <c r="CY35">
        <f t="shared" ref="CY35:DG35" si="118">$CW$36</f>
        <v>271.79269202273753</v>
      </c>
      <c r="CZ35">
        <f t="shared" si="118"/>
        <v>271.79269202273753</v>
      </c>
      <c r="DA35">
        <f t="shared" si="118"/>
        <v>271.79269202273753</v>
      </c>
      <c r="DB35">
        <f t="shared" si="118"/>
        <v>271.79269202273753</v>
      </c>
      <c r="DC35">
        <f t="shared" si="118"/>
        <v>271.79269202273753</v>
      </c>
      <c r="DD35">
        <f t="shared" si="118"/>
        <v>271.79269202273753</v>
      </c>
      <c r="DE35">
        <f t="shared" si="118"/>
        <v>271.79269202273753</v>
      </c>
      <c r="DF35">
        <f t="shared" si="118"/>
        <v>271.79269202273753</v>
      </c>
      <c r="DG35">
        <f t="shared" si="118"/>
        <v>271.79269202273753</v>
      </c>
      <c r="DI35">
        <f t="shared" ref="DI35:DR35" si="119">ABS(CX35-CX5)</f>
        <v>71.207307977262474</v>
      </c>
      <c r="DJ35">
        <f t="shared" si="119"/>
        <v>67.792692022737526</v>
      </c>
      <c r="DK35">
        <f t="shared" si="119"/>
        <v>26.207307977262474</v>
      </c>
      <c r="DL35">
        <f t="shared" si="119"/>
        <v>45.792692022737526</v>
      </c>
      <c r="DM35">
        <f t="shared" si="119"/>
        <v>36.792692022737526</v>
      </c>
      <c r="DN35">
        <f t="shared" si="119"/>
        <v>267.79269202273753</v>
      </c>
      <c r="DO35">
        <f t="shared" si="119"/>
        <v>206.20730797726247</v>
      </c>
      <c r="DP35">
        <f t="shared" si="119"/>
        <v>97.792692022737526</v>
      </c>
      <c r="DQ35">
        <f t="shared" si="119"/>
        <v>179.20730797726247</v>
      </c>
      <c r="DR35">
        <f t="shared" si="119"/>
        <v>23.207307977262474</v>
      </c>
      <c r="DS35" s="1">
        <f t="shared" si="36"/>
        <v>1022</v>
      </c>
      <c r="DU35" s="3">
        <v>2.5382861506837821E-2</v>
      </c>
      <c r="DZ35">
        <f>ABS(CX35-CX$5)/MAX($B$5:$CW$5)</f>
        <v>0.14896926355075832</v>
      </c>
      <c r="EA35">
        <f t="shared" ref="EA35" si="120">ABS(CY35-CY$5)/MAX($B$5:$CW$5)</f>
        <v>0.1418257155287396</v>
      </c>
      <c r="EB35">
        <f t="shared" ref="EB35" si="121">ABS(CZ35-CZ$5)/MAX($B$5:$CW$5)</f>
        <v>5.4827004136532374E-2</v>
      </c>
      <c r="EC35">
        <f t="shared" ref="EC35" si="122">ABS(DA35-DA$5)/MAX($B$5:$CW$5)</f>
        <v>9.5800610926229129E-2</v>
      </c>
      <c r="ED35">
        <f t="shared" ref="ED35" si="123">ABS(DB35-DB$5)/MAX($B$5:$CW$5)</f>
        <v>7.6972159043383948E-2</v>
      </c>
      <c r="EE35">
        <f t="shared" ref="EE35" si="124">ABS(DC35-DC$5)/MAX($B$5:$CW$5)</f>
        <v>0.56023575736974374</v>
      </c>
      <c r="EF35">
        <f t="shared" ref="EF35" si="125">ABS(DD35-DD$5)/MAX($B$5:$CW$5)</f>
        <v>0.43139604179343616</v>
      </c>
      <c r="EG35">
        <f t="shared" ref="EG35" si="126">ABS(DE35-DE$5)/MAX($B$5:$CW$5)</f>
        <v>0.20458722180489022</v>
      </c>
      <c r="EH35">
        <f t="shared" ref="EH35" si="127">ABS(DF35-DF$5)/MAX($B$5:$CW$5)</f>
        <v>0.37491068614490058</v>
      </c>
      <c r="EI35">
        <f t="shared" ref="EI35" si="128">ABS(DG35-DG$5)/MAX($B$5:$CW$5)</f>
        <v>4.8550853508917309E-2</v>
      </c>
      <c r="EJ35" s="1">
        <f t="shared" ref="EJ35" si="129">SUM(DZ35:EI35)</f>
        <v>2.1380753138075317</v>
      </c>
    </row>
    <row r="36" spans="1:140" x14ac:dyDescent="0.35">
      <c r="A36" t="s">
        <v>126</v>
      </c>
      <c r="B36">
        <f>B35</f>
        <v>77</v>
      </c>
      <c r="C36">
        <f>$DU$35*C35 + (1-$DU$35)*B36</f>
        <v>83.218801069175271</v>
      </c>
      <c r="D36">
        <f t="shared" ref="D36:BO36" si="130">$DU$35*D35 + (1-$DU$35)*C36</f>
        <v>87.706013758649149</v>
      </c>
      <c r="E36">
        <f t="shared" si="130"/>
        <v>91.393990889189766</v>
      </c>
      <c r="F36">
        <f t="shared" si="130"/>
        <v>96.282882543834219</v>
      </c>
      <c r="G36">
        <f t="shared" si="130"/>
        <v>103.96670921197324</v>
      </c>
      <c r="H36">
        <f t="shared" si="130"/>
        <v>110.71939538825404</v>
      </c>
      <c r="I36">
        <f t="shared" si="130"/>
        <v>113.21403836392228</v>
      </c>
      <c r="J36">
        <f t="shared" si="130"/>
        <v>119.68123514201734</v>
      </c>
      <c r="K36">
        <f t="shared" si="130"/>
        <v>122.73526968708131</v>
      </c>
      <c r="L36">
        <f t="shared" si="130"/>
        <v>128.50389886200298</v>
      </c>
      <c r="M36">
        <f t="shared" si="130"/>
        <v>135.44601251984886</v>
      </c>
      <c r="N36">
        <f t="shared" si="130"/>
        <v>140.71432663924949</v>
      </c>
      <c r="O36">
        <f t="shared" si="130"/>
        <v>142.32069812153242</v>
      </c>
      <c r="P36">
        <f t="shared" si="130"/>
        <v>146.27228428059476</v>
      </c>
      <c r="Q36">
        <f t="shared" si="130"/>
        <v>148.29600184695695</v>
      </c>
      <c r="R36">
        <f t="shared" si="130"/>
        <v>150.49679742416478</v>
      </c>
      <c r="S36">
        <f t="shared" si="130"/>
        <v>146.77828950395192</v>
      </c>
      <c r="T36">
        <f t="shared" si="130"/>
        <v>155.18564430953106</v>
      </c>
      <c r="U36">
        <f t="shared" si="130"/>
        <v>155.66320649436264</v>
      </c>
      <c r="V36">
        <f t="shared" si="130"/>
        <v>163.15969942178981</v>
      </c>
      <c r="W36">
        <f t="shared" si="130"/>
        <v>166.50618351238637</v>
      </c>
      <c r="X36">
        <f t="shared" si="130"/>
        <v>164.23426045228587</v>
      </c>
      <c r="Y36">
        <f t="shared" si="130"/>
        <v>168.23880636974934</v>
      </c>
      <c r="Z36">
        <f t="shared" si="130"/>
        <v>170.56796803936814</v>
      </c>
      <c r="AA36">
        <f t="shared" si="130"/>
        <v>172.15267166021533</v>
      </c>
      <c r="AB36">
        <f t="shared" si="130"/>
        <v>174.99167690537391</v>
      </c>
      <c r="AC36">
        <f t="shared" si="130"/>
        <v>180.67764914686379</v>
      </c>
      <c r="AD36">
        <f t="shared" si="130"/>
        <v>185.48319215871791</v>
      </c>
      <c r="AE36">
        <f t="shared" si="130"/>
        <v>186.0801160352361</v>
      </c>
      <c r="AF36">
        <f t="shared" si="130"/>
        <v>190.6977632552537</v>
      </c>
      <c r="AG36">
        <f t="shared" si="130"/>
        <v>191.94919510252294</v>
      </c>
      <c r="AH36">
        <f t="shared" si="130"/>
        <v>195.96097679427987</v>
      </c>
      <c r="AI36">
        <f t="shared" si="130"/>
        <v>201.19083678531481</v>
      </c>
      <c r="AJ36">
        <f t="shared" si="130"/>
        <v>204.79035913559372</v>
      </c>
      <c r="AK36">
        <f t="shared" si="130"/>
        <v>204.77029755911428</v>
      </c>
      <c r="AL36">
        <f t="shared" si="130"/>
        <v>207.136734184495</v>
      </c>
      <c r="AM36">
        <f t="shared" si="130"/>
        <v>207.61553784825662</v>
      </c>
      <c r="AN36">
        <f t="shared" si="130"/>
        <v>208.31063385849356</v>
      </c>
      <c r="AO36">
        <f t="shared" si="130"/>
        <v>203.12464533488915</v>
      </c>
      <c r="AP36">
        <f t="shared" si="130"/>
        <v>210.10176839399659</v>
      </c>
      <c r="AQ36">
        <f t="shared" si="130"/>
        <v>209.18540220669985</v>
      </c>
      <c r="AR36">
        <f t="shared" si="130"/>
        <v>215.32334865281891</v>
      </c>
      <c r="AS36">
        <f t="shared" si="130"/>
        <v>217.34577005929302</v>
      </c>
      <c r="AT36">
        <f t="shared" si="130"/>
        <v>213.78339281480748</v>
      </c>
      <c r="AU36">
        <f t="shared" si="130"/>
        <v>216.5302399677291</v>
      </c>
      <c r="AV36">
        <f t="shared" si="130"/>
        <v>217.63362686636373</v>
      </c>
      <c r="AW36">
        <f t="shared" si="130"/>
        <v>218.02366938747721</v>
      </c>
      <c r="AX36">
        <f t="shared" si="130"/>
        <v>219.69833745014424</v>
      </c>
      <c r="AY36">
        <f t="shared" si="130"/>
        <v>224.24952671859299</v>
      </c>
      <c r="AZ36">
        <f t="shared" si="130"/>
        <v>227.94909079645103</v>
      </c>
      <c r="BA36">
        <f t="shared" si="130"/>
        <v>227.46810864908423</v>
      </c>
      <c r="BB36">
        <f t="shared" si="130"/>
        <v>231.0352101845385</v>
      </c>
      <c r="BC36">
        <f t="shared" si="130"/>
        <v>231.26276220286226</v>
      </c>
      <c r="BD36">
        <f t="shared" si="130"/>
        <v>234.27665306557151</v>
      </c>
      <c r="BE36">
        <f t="shared" si="130"/>
        <v>238.53395155227145</v>
      </c>
      <c r="BF36">
        <f t="shared" si="130"/>
        <v>241.18559879218674</v>
      </c>
      <c r="BG36">
        <f t="shared" si="130"/>
        <v>240.24172188799582</v>
      </c>
      <c r="BH36">
        <f t="shared" si="130"/>
        <v>241.70779226218625</v>
      </c>
      <c r="BI36">
        <f t="shared" si="130"/>
        <v>241.30908354661699</v>
      </c>
      <c r="BJ36">
        <f t="shared" si="130"/>
        <v>241.14894095271816</v>
      </c>
      <c r="BK36">
        <f t="shared" si="130"/>
        <v>235.12942222802207</v>
      </c>
      <c r="BL36">
        <f t="shared" si="130"/>
        <v>241.29417246769387</v>
      </c>
      <c r="BM36">
        <f t="shared" si="130"/>
        <v>239.58605380772914</v>
      </c>
      <c r="BN36">
        <f t="shared" si="130"/>
        <v>244.95234472454163</v>
      </c>
      <c r="BO36">
        <f t="shared" si="130"/>
        <v>246.22269742714056</v>
      </c>
      <c r="BP36">
        <f t="shared" ref="BP36:CW36" si="131">$DU$35*BP35 + (1-$DU$35)*BO36</f>
        <v>241.92734113453395</v>
      </c>
      <c r="BQ36">
        <f t="shared" si="131"/>
        <v>243.95981434500035</v>
      </c>
      <c r="BR36">
        <f t="shared" si="131"/>
        <v>244.36696015602519</v>
      </c>
      <c r="BS36">
        <f t="shared" si="131"/>
        <v>244.07843418063106</v>
      </c>
      <c r="BT36">
        <f t="shared" si="131"/>
        <v>245.09175775696022</v>
      </c>
      <c r="BU36">
        <f t="shared" si="131"/>
        <v>248.99838935457615</v>
      </c>
      <c r="BV36">
        <f t="shared" si="131"/>
        <v>252.06975647969327</v>
      </c>
      <c r="BW36">
        <f t="shared" si="131"/>
        <v>250.97652281583598</v>
      </c>
      <c r="BX36">
        <f t="shared" si="131"/>
        <v>253.94691353025021</v>
      </c>
      <c r="BY36">
        <f t="shared" si="131"/>
        <v>253.59290095566402</v>
      </c>
      <c r="BZ36">
        <f t="shared" si="131"/>
        <v>256.03998899898244</v>
      </c>
      <c r="CA36">
        <f t="shared" si="131"/>
        <v>259.74487174375781</v>
      </c>
      <c r="CB36">
        <f t="shared" si="131"/>
        <v>261.85812513402004</v>
      </c>
      <c r="CC36">
        <f t="shared" si="131"/>
        <v>260.38952035669797</v>
      </c>
      <c r="CD36">
        <f t="shared" si="131"/>
        <v>261.34418195268967</v>
      </c>
      <c r="CE36">
        <f t="shared" si="131"/>
        <v>260.44704547711211</v>
      </c>
      <c r="CF36">
        <f t="shared" si="131"/>
        <v>259.80112664600841</v>
      </c>
      <c r="CG36">
        <f t="shared" si="131"/>
        <v>253.3081620750597</v>
      </c>
      <c r="CH36">
        <f t="shared" si="131"/>
        <v>259.01148387882535</v>
      </c>
      <c r="CI36">
        <f t="shared" si="131"/>
        <v>256.85364915703832</v>
      </c>
      <c r="CJ36">
        <f t="shared" si="131"/>
        <v>261.78163909254317</v>
      </c>
      <c r="CK36">
        <f t="shared" si="131"/>
        <v>262.62481614694133</v>
      </c>
      <c r="CL36">
        <f t="shared" si="131"/>
        <v>257.9131271464513</v>
      </c>
      <c r="CM36">
        <f t="shared" si="131"/>
        <v>259.53983536449925</v>
      </c>
      <c r="CN36">
        <f t="shared" si="131"/>
        <v>259.55151565971249</v>
      </c>
      <c r="CO36">
        <f t="shared" si="131"/>
        <v>258.87756221492538</v>
      </c>
      <c r="CP36">
        <f t="shared" si="131"/>
        <v>259.51524157393806</v>
      </c>
      <c r="CQ36">
        <f t="shared" si="131"/>
        <v>263.05576387938152</v>
      </c>
      <c r="CR36">
        <f t="shared" si="131"/>
        <v>265.77031461378573</v>
      </c>
      <c r="CS36">
        <f t="shared" si="131"/>
        <v>264.32932158024443</v>
      </c>
      <c r="CT36">
        <f t="shared" si="131"/>
        <v>266.96078005289303</v>
      </c>
      <c r="CU36">
        <f t="shared" si="131"/>
        <v>266.27643830669416</v>
      </c>
      <c r="CV36">
        <f t="shared" si="131"/>
        <v>268.40158187801455</v>
      </c>
      <c r="CW36">
        <f t="shared" si="131"/>
        <v>271.79269202273753</v>
      </c>
      <c r="DS36" s="1"/>
      <c r="DU36" s="3"/>
      <c r="EJ36" s="1"/>
    </row>
    <row r="37" spans="1:140" x14ac:dyDescent="0.35">
      <c r="A37" t="s">
        <v>115</v>
      </c>
      <c r="B37">
        <v>779</v>
      </c>
      <c r="C37">
        <v>532</v>
      </c>
      <c r="D37">
        <v>86</v>
      </c>
      <c r="E37">
        <v>290</v>
      </c>
      <c r="F37">
        <v>534</v>
      </c>
      <c r="G37">
        <v>505</v>
      </c>
      <c r="H37">
        <v>249</v>
      </c>
      <c r="I37">
        <v>503</v>
      </c>
      <c r="J37">
        <v>991</v>
      </c>
      <c r="K37">
        <v>705</v>
      </c>
      <c r="L37">
        <v>357</v>
      </c>
      <c r="M37">
        <v>112</v>
      </c>
      <c r="N37">
        <v>927</v>
      </c>
      <c r="O37">
        <v>582</v>
      </c>
      <c r="P37">
        <v>746</v>
      </c>
      <c r="Q37">
        <v>677</v>
      </c>
      <c r="R37">
        <v>405</v>
      </c>
      <c r="S37">
        <v>758</v>
      </c>
      <c r="T37">
        <v>412</v>
      </c>
      <c r="U37">
        <v>890</v>
      </c>
      <c r="V37">
        <v>944</v>
      </c>
      <c r="W37">
        <v>818</v>
      </c>
      <c r="X37">
        <v>293</v>
      </c>
      <c r="Y37">
        <v>575</v>
      </c>
      <c r="Z37">
        <v>10</v>
      </c>
      <c r="AA37">
        <v>294</v>
      </c>
      <c r="AB37">
        <v>593</v>
      </c>
      <c r="AC37">
        <v>380</v>
      </c>
      <c r="AD37">
        <v>133</v>
      </c>
      <c r="AE37">
        <v>886</v>
      </c>
      <c r="AF37">
        <v>956</v>
      </c>
      <c r="AG37">
        <v>886</v>
      </c>
      <c r="AH37">
        <v>506</v>
      </c>
      <c r="AI37">
        <v>581</v>
      </c>
      <c r="AJ37">
        <v>558</v>
      </c>
      <c r="AK37">
        <v>879</v>
      </c>
      <c r="AL37">
        <v>322</v>
      </c>
      <c r="AM37">
        <v>613</v>
      </c>
      <c r="AN37">
        <v>613</v>
      </c>
      <c r="AO37">
        <v>888</v>
      </c>
      <c r="AP37">
        <v>592</v>
      </c>
      <c r="AQ37">
        <v>192</v>
      </c>
      <c r="AR37">
        <v>249</v>
      </c>
      <c r="AS37">
        <v>293</v>
      </c>
      <c r="AT37">
        <v>283</v>
      </c>
      <c r="AU37">
        <v>156</v>
      </c>
      <c r="AV37">
        <v>336</v>
      </c>
      <c r="AW37">
        <v>192</v>
      </c>
      <c r="AX37">
        <v>226</v>
      </c>
      <c r="AY37">
        <v>634</v>
      </c>
      <c r="AZ37">
        <v>713</v>
      </c>
      <c r="BA37">
        <v>961</v>
      </c>
      <c r="BB37">
        <v>41</v>
      </c>
      <c r="BC37">
        <v>988</v>
      </c>
      <c r="BD37">
        <v>628</v>
      </c>
      <c r="BE37">
        <v>286</v>
      </c>
      <c r="BF37">
        <v>90</v>
      </c>
      <c r="BG37">
        <v>350</v>
      </c>
      <c r="BH37">
        <v>312</v>
      </c>
      <c r="BI37">
        <v>127</v>
      </c>
      <c r="BJ37">
        <v>862</v>
      </c>
      <c r="BK37">
        <v>433</v>
      </c>
      <c r="BL37">
        <v>311</v>
      </c>
      <c r="BM37">
        <v>795</v>
      </c>
      <c r="BN37">
        <v>94</v>
      </c>
      <c r="BO37">
        <v>249</v>
      </c>
      <c r="BP37">
        <v>293</v>
      </c>
      <c r="BQ37">
        <v>825</v>
      </c>
      <c r="BR37">
        <v>986</v>
      </c>
      <c r="BS37">
        <v>360</v>
      </c>
      <c r="BT37">
        <v>590</v>
      </c>
      <c r="BU37">
        <v>435</v>
      </c>
      <c r="BV37">
        <v>713</v>
      </c>
      <c r="BW37">
        <v>40</v>
      </c>
      <c r="BX37">
        <v>881</v>
      </c>
      <c r="BY37">
        <v>942</v>
      </c>
      <c r="BZ37">
        <v>910</v>
      </c>
      <c r="CA37">
        <v>663</v>
      </c>
      <c r="CB37">
        <v>815</v>
      </c>
      <c r="CC37">
        <v>523</v>
      </c>
      <c r="CD37">
        <v>901</v>
      </c>
      <c r="CE37">
        <v>500</v>
      </c>
      <c r="CF37">
        <v>637</v>
      </c>
      <c r="CG37">
        <v>972</v>
      </c>
      <c r="CH37">
        <v>294</v>
      </c>
      <c r="CI37">
        <v>815</v>
      </c>
      <c r="CJ37">
        <v>860</v>
      </c>
      <c r="CK37">
        <v>736</v>
      </c>
      <c r="CL37">
        <v>929</v>
      </c>
      <c r="CM37">
        <v>650</v>
      </c>
      <c r="CN37">
        <v>396</v>
      </c>
      <c r="CO37">
        <v>541</v>
      </c>
      <c r="CP37">
        <v>471</v>
      </c>
      <c r="CQ37">
        <v>370</v>
      </c>
      <c r="CR37">
        <v>727</v>
      </c>
      <c r="CS37">
        <v>639</v>
      </c>
      <c r="CT37">
        <v>626</v>
      </c>
      <c r="CU37">
        <v>955</v>
      </c>
      <c r="CV37">
        <v>31</v>
      </c>
      <c r="CW37">
        <v>250</v>
      </c>
      <c r="CX37" s="2">
        <f>$CW$38</f>
        <v>670.66876252057716</v>
      </c>
      <c r="CY37">
        <f t="shared" ref="CY37:DG37" si="132">$CW$38</f>
        <v>670.66876252057716</v>
      </c>
      <c r="CZ37">
        <f t="shared" si="132"/>
        <v>670.66876252057716</v>
      </c>
      <c r="DA37">
        <f t="shared" si="132"/>
        <v>670.66876252057716</v>
      </c>
      <c r="DB37">
        <f t="shared" si="132"/>
        <v>670.66876252057716</v>
      </c>
      <c r="DC37">
        <f t="shared" si="132"/>
        <v>670.66876252057716</v>
      </c>
      <c r="DD37">
        <f t="shared" si="132"/>
        <v>670.66876252057716</v>
      </c>
      <c r="DE37">
        <f t="shared" si="132"/>
        <v>670.66876252057716</v>
      </c>
      <c r="DF37">
        <f t="shared" si="132"/>
        <v>670.66876252057716</v>
      </c>
      <c r="DG37">
        <f t="shared" si="132"/>
        <v>670.66876252057716</v>
      </c>
      <c r="DI37">
        <f t="shared" ref="DI37:DR37" si="133">ABS(CX37-CX6)</f>
        <v>240.33123747942284</v>
      </c>
      <c r="DJ37">
        <f t="shared" si="133"/>
        <v>17.331237479422839</v>
      </c>
      <c r="DK37">
        <f t="shared" si="133"/>
        <v>6.331237479422839</v>
      </c>
      <c r="DL37">
        <f t="shared" si="133"/>
        <v>117.33123747942284</v>
      </c>
      <c r="DM37">
        <f t="shared" si="133"/>
        <v>20.668762520577161</v>
      </c>
      <c r="DN37">
        <f t="shared" si="133"/>
        <v>63.331237479422839</v>
      </c>
      <c r="DO37">
        <f t="shared" si="133"/>
        <v>127.66876252057716</v>
      </c>
      <c r="DP37">
        <f t="shared" si="133"/>
        <v>333.66876252057716</v>
      </c>
      <c r="DQ37">
        <f t="shared" si="133"/>
        <v>156.66876252057716</v>
      </c>
      <c r="DR37">
        <f t="shared" si="133"/>
        <v>544.66876252057716</v>
      </c>
      <c r="DS37" s="1">
        <f t="shared" si="36"/>
        <v>1628</v>
      </c>
      <c r="DU37" s="3">
        <v>6.3356942835960705E-3</v>
      </c>
      <c r="DZ37">
        <f>ABS(CX37-CX$6)/MAX($B$6:$CW$6)</f>
        <v>0.24251386223957905</v>
      </c>
      <c r="EA37">
        <f t="shared" ref="EA37" si="134">ABS(CY37-CY$6)/MAX($B$6:$CW$6)</f>
        <v>1.7488635196188537E-2</v>
      </c>
      <c r="EB37">
        <f t="shared" ref="EB37" si="135">ABS(CZ37-CZ$6)/MAX($B$6:$CW$6)</f>
        <v>6.3887361043620979E-3</v>
      </c>
      <c r="EC37">
        <f t="shared" ref="EC37" si="136">ABS(DA37-DA$6)/MAX($B$6:$CW$6)</f>
        <v>0.11839680875824707</v>
      </c>
      <c r="ED37">
        <f t="shared" ref="ED37" si="137">ABS(DB37-DB$6)/MAX($B$6:$CW$6)</f>
        <v>2.0856470757393705E-2</v>
      </c>
      <c r="EE37">
        <f t="shared" ref="EE37" si="138">ABS(DC37-DC$6)/MAX($B$6:$CW$6)</f>
        <v>6.3906395034735455E-2</v>
      </c>
      <c r="EF37">
        <f t="shared" ref="EF37" si="139">ABS(DD37-DD$6)/MAX($B$6:$CW$6)</f>
        <v>0.12882821646879633</v>
      </c>
      <c r="EG37">
        <f t="shared" ref="EG37" si="140">ABS(DE37-DE$6)/MAX($B$6:$CW$6)</f>
        <v>0.33669905400663691</v>
      </c>
      <c r="EH37">
        <f t="shared" ref="EH37" si="141">ABS(DF37-DF$6)/MAX($B$6:$CW$6)</f>
        <v>0.1580915868017933</v>
      </c>
      <c r="EI37">
        <f t="shared" ref="EI37" si="142">ABS(DG37-DG$6)/MAX($B$6:$CW$6)</f>
        <v>0.54961530022258043</v>
      </c>
      <c r="EJ37" s="1">
        <f t="shared" ref="EJ37" si="143">SUM(DZ37:EI37)</f>
        <v>1.6427850655903127</v>
      </c>
    </row>
    <row r="38" spans="1:140" x14ac:dyDescent="0.35">
      <c r="A38" t="s">
        <v>127</v>
      </c>
      <c r="B38">
        <f>B37</f>
        <v>779</v>
      </c>
      <c r="C38">
        <f>$DU$37*C37 + (1-$DU$37)*B38</f>
        <v>777.4350835119518</v>
      </c>
      <c r="D38">
        <f t="shared" ref="D38:BO38" si="144">$DU$37*D37 + (1-$DU$37)*C38</f>
        <v>773.05436220586739</v>
      </c>
      <c r="E38">
        <f t="shared" si="144"/>
        <v>769.99387744457351</v>
      </c>
      <c r="F38">
        <f t="shared" si="144"/>
        <v>768.49869238428425</v>
      </c>
      <c r="G38">
        <f t="shared" si="144"/>
        <v>766.82924522521012</v>
      </c>
      <c r="H38">
        <f t="shared" si="144"/>
        <v>763.54843743635797</v>
      </c>
      <c r="I38">
        <f t="shared" si="144"/>
        <v>761.89768219069265</v>
      </c>
      <c r="J38">
        <f t="shared" si="144"/>
        <v>763.3492044359956</v>
      </c>
      <c r="K38">
        <f t="shared" si="144"/>
        <v>762.9795217149981</v>
      </c>
      <c r="L38">
        <f t="shared" si="144"/>
        <v>760.4073595800113</v>
      </c>
      <c r="M38">
        <f t="shared" si="144"/>
        <v>756.29924877847861</v>
      </c>
      <c r="N38">
        <f t="shared" si="144"/>
        <v>757.38075655219836</v>
      </c>
      <c r="O38">
        <f t="shared" si="144"/>
        <v>756.26959769545783</v>
      </c>
      <c r="P38">
        <f t="shared" si="144"/>
        <v>756.204532664044</v>
      </c>
      <c r="Q38">
        <f t="shared" si="144"/>
        <v>755.70271695920951</v>
      </c>
      <c r="R38">
        <f t="shared" si="144"/>
        <v>753.48077176012941</v>
      </c>
      <c r="S38">
        <f t="shared" si="144"/>
        <v>753.50940420865504</v>
      </c>
      <c r="T38">
        <f t="shared" si="144"/>
        <v>751.34570502861595</v>
      </c>
      <c r="U38">
        <f t="shared" si="144"/>
        <v>752.22417625266212</v>
      </c>
      <c r="V38">
        <f t="shared" si="144"/>
        <v>753.43920924291012</v>
      </c>
      <c r="W38">
        <f t="shared" si="144"/>
        <v>753.84824667585428</v>
      </c>
      <c r="X38">
        <f t="shared" si="144"/>
        <v>750.92845307378479</v>
      </c>
      <c r="Y38">
        <f t="shared" si="144"/>
        <v>749.81382417932332</v>
      </c>
      <c r="Z38">
        <f t="shared" si="144"/>
        <v>745.12658996254504</v>
      </c>
      <c r="AA38">
        <f t="shared" si="144"/>
        <v>742.26838980534114</v>
      </c>
      <c r="AB38">
        <f t="shared" si="144"/>
        <v>741.32267092132986</v>
      </c>
      <c r="AC38">
        <f t="shared" si="144"/>
        <v>739.03344094063993</v>
      </c>
      <c r="AD38">
        <f t="shared" si="144"/>
        <v>735.19379833320431</v>
      </c>
      <c r="AE38">
        <f t="shared" si="144"/>
        <v>736.14926032303549</v>
      </c>
      <c r="AF38">
        <f t="shared" si="144"/>
        <v>737.54216739765127</v>
      </c>
      <c r="AG38">
        <f t="shared" si="144"/>
        <v>738.48275083902502</v>
      </c>
      <c r="AH38">
        <f t="shared" si="144"/>
        <v>737.00981120349957</v>
      </c>
      <c r="AI38">
        <f t="shared" si="144"/>
        <v>736.0213807344727</v>
      </c>
      <c r="AJ38">
        <f t="shared" si="144"/>
        <v>734.89349169019545</v>
      </c>
      <c r="AK38">
        <f t="shared" si="144"/>
        <v>735.80650647112293</v>
      </c>
      <c r="AL38">
        <f t="shared" si="144"/>
        <v>733.18475495355904</v>
      </c>
      <c r="AM38">
        <f t="shared" si="144"/>
        <v>732.42330108862438</v>
      </c>
      <c r="AN38">
        <f t="shared" si="144"/>
        <v>731.66667156258904</v>
      </c>
      <c r="AO38">
        <f t="shared" si="144"/>
        <v>732.65715173790556</v>
      </c>
      <c r="AP38">
        <f t="shared" si="144"/>
        <v>731.76599102569276</v>
      </c>
      <c r="AQ38">
        <f t="shared" si="144"/>
        <v>728.3461987218717</v>
      </c>
      <c r="AR38">
        <f t="shared" si="144"/>
        <v>725.30920775076606</v>
      </c>
      <c r="AS38">
        <f t="shared" si="144"/>
        <v>722.57022877447355</v>
      </c>
      <c r="AT38">
        <f t="shared" si="144"/>
        <v>719.78524618878805</v>
      </c>
      <c r="AU38">
        <f t="shared" si="144"/>
        <v>716.21327522733395</v>
      </c>
      <c r="AV38">
        <f t="shared" si="144"/>
        <v>713.80436015292878</v>
      </c>
      <c r="AW38">
        <f t="shared" si="144"/>
        <v>710.49836725115233</v>
      </c>
      <c r="AX38">
        <f t="shared" si="144"/>
        <v>707.42873371534756</v>
      </c>
      <c r="AY38">
        <f t="shared" si="144"/>
        <v>706.96351170689559</v>
      </c>
      <c r="AZ38">
        <f t="shared" si="144"/>
        <v>707.00175705126719</v>
      </c>
      <c r="BA38">
        <f t="shared" si="144"/>
        <v>708.61101226716096</v>
      </c>
      <c r="BB38">
        <f t="shared" si="144"/>
        <v>704.38123299307415</v>
      </c>
      <c r="BC38">
        <f t="shared" si="144"/>
        <v>706.1781547939205</v>
      </c>
      <c r="BD38">
        <f t="shared" si="144"/>
        <v>705.68284190549059</v>
      </c>
      <c r="BE38">
        <f t="shared" si="144"/>
        <v>703.02385972310663</v>
      </c>
      <c r="BF38">
        <f t="shared" si="144"/>
        <v>699.13992795935087</v>
      </c>
      <c r="BG38">
        <f t="shared" si="144"/>
        <v>696.92788411360368</v>
      </c>
      <c r="BH38">
        <f t="shared" si="144"/>
        <v>694.48909871862838</v>
      </c>
      <c r="BI38">
        <f t="shared" si="144"/>
        <v>690.89366127987364</v>
      </c>
      <c r="BJ38">
        <f t="shared" si="144"/>
        <v>691.97773873198992</v>
      </c>
      <c r="BK38">
        <f t="shared" si="144"/>
        <v>690.33693495312707</v>
      </c>
      <c r="BL38">
        <f t="shared" si="144"/>
        <v>687.93357210278771</v>
      </c>
      <c r="BM38">
        <f t="shared" si="144"/>
        <v>688.61191225798109</v>
      </c>
      <c r="BN38">
        <f t="shared" si="144"/>
        <v>684.84463296453009</v>
      </c>
      <c r="BO38">
        <f t="shared" si="144"/>
        <v>682.08325461492075</v>
      </c>
      <c r="BP38">
        <f t="shared" ref="BP38:CW38" si="145">$DU$37*BP37 + (1-$DU$37)*BO38</f>
        <v>679.61814206281406</v>
      </c>
      <c r="BQ38">
        <f t="shared" si="145"/>
        <v>680.53923706908529</v>
      </c>
      <c r="BR38">
        <f t="shared" si="145"/>
        <v>682.47454307864962</v>
      </c>
      <c r="BS38">
        <f t="shared" si="145"/>
        <v>680.43144295946104</v>
      </c>
      <c r="BT38">
        <f t="shared" si="145"/>
        <v>679.85849698324546</v>
      </c>
      <c r="BU38">
        <f t="shared" si="145"/>
        <v>678.30714840361873</v>
      </c>
      <c r="BV38">
        <f t="shared" si="145"/>
        <v>678.5269517051596</v>
      </c>
      <c r="BW38">
        <f t="shared" si="145"/>
        <v>674.48144014731918</v>
      </c>
      <c r="BX38">
        <f t="shared" si="145"/>
        <v>675.78987860643429</v>
      </c>
      <c r="BY38">
        <f t="shared" si="145"/>
        <v>677.47650455078292</v>
      </c>
      <c r="BZ38">
        <f t="shared" si="145"/>
        <v>678.94970233170227</v>
      </c>
      <c r="CA38">
        <f t="shared" si="145"/>
        <v>678.84864989381424</v>
      </c>
      <c r="CB38">
        <f t="shared" si="145"/>
        <v>679.7112632243859</v>
      </c>
      <c r="CC38">
        <f t="shared" si="145"/>
        <v>678.71838856980003</v>
      </c>
      <c r="CD38">
        <f t="shared" si="145"/>
        <v>680.12669690468692</v>
      </c>
      <c r="CE38">
        <f t="shared" si="145"/>
        <v>678.98546922078481</v>
      </c>
      <c r="CF38">
        <f t="shared" si="145"/>
        <v>678.71946212344858</v>
      </c>
      <c r="CG38">
        <f t="shared" si="145"/>
        <v>680.57759795076311</v>
      </c>
      <c r="CH38">
        <f t="shared" si="145"/>
        <v>678.12836047326016</v>
      </c>
      <c r="CI38">
        <f t="shared" si="145"/>
        <v>678.99553733739617</v>
      </c>
      <c r="CJ38">
        <f t="shared" si="145"/>
        <v>680.14232627679303</v>
      </c>
      <c r="CK38">
        <f t="shared" si="145"/>
        <v>680.49622342089617</v>
      </c>
      <c r="CL38">
        <f t="shared" si="145"/>
        <v>682.07066737762045</v>
      </c>
      <c r="CM38">
        <f t="shared" si="145"/>
        <v>681.86747743364504</v>
      </c>
      <c r="CN38">
        <f t="shared" si="145"/>
        <v>680.05630849100271</v>
      </c>
      <c r="CO38">
        <f t="shared" si="145"/>
        <v>679.17529023219822</v>
      </c>
      <c r="CP38">
        <f t="shared" si="145"/>
        <v>677.85635523588826</v>
      </c>
      <c r="CQ38">
        <f t="shared" si="145"/>
        <v>675.90587148585155</v>
      </c>
      <c r="CR38">
        <f t="shared" si="145"/>
        <v>676.22958826380398</v>
      </c>
      <c r="CS38">
        <f t="shared" si="145"/>
        <v>675.99371297426035</v>
      </c>
      <c r="CT38">
        <f t="shared" si="145"/>
        <v>675.67696809275367</v>
      </c>
      <c r="CU38">
        <f t="shared" si="145"/>
        <v>677.44667342928517</v>
      </c>
      <c r="CV38">
        <f t="shared" si="145"/>
        <v>673.3509849357896</v>
      </c>
      <c r="CW38">
        <f t="shared" si="145"/>
        <v>670.66876252057716</v>
      </c>
      <c r="DS38" s="1"/>
      <c r="EJ38" s="1"/>
    </row>
    <row r="41" spans="1:140" x14ac:dyDescent="0.35">
      <c r="CX41" s="2" t="s">
        <v>118</v>
      </c>
    </row>
    <row r="42" spans="1:140" x14ac:dyDescent="0.3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7</v>
      </c>
      <c r="I42" t="s">
        <v>8</v>
      </c>
      <c r="J42" t="s">
        <v>9</v>
      </c>
      <c r="K42" t="s">
        <v>10</v>
      </c>
      <c r="L42" t="s">
        <v>11</v>
      </c>
      <c r="M42" t="s">
        <v>12</v>
      </c>
      <c r="N42" t="s">
        <v>13</v>
      </c>
      <c r="O42" t="s">
        <v>14</v>
      </c>
      <c r="P42" t="s">
        <v>15</v>
      </c>
      <c r="Q42" t="s">
        <v>16</v>
      </c>
      <c r="R42" t="s">
        <v>17</v>
      </c>
      <c r="S42" t="s">
        <v>18</v>
      </c>
      <c r="T42" t="s">
        <v>19</v>
      </c>
      <c r="U42" t="s">
        <v>20</v>
      </c>
      <c r="V42" t="s">
        <v>21</v>
      </c>
      <c r="W42" t="s">
        <v>22</v>
      </c>
      <c r="X42" t="s">
        <v>23</v>
      </c>
      <c r="Y42" t="s">
        <v>24</v>
      </c>
      <c r="Z42" t="s">
        <v>25</v>
      </c>
      <c r="AA42" t="s">
        <v>26</v>
      </c>
      <c r="AB42" t="s">
        <v>27</v>
      </c>
      <c r="AC42" t="s">
        <v>28</v>
      </c>
      <c r="AD42" t="s">
        <v>29</v>
      </c>
      <c r="AE42" t="s">
        <v>30</v>
      </c>
      <c r="AF42" t="s">
        <v>31</v>
      </c>
      <c r="AG42" t="s">
        <v>32</v>
      </c>
      <c r="AH42" t="s">
        <v>33</v>
      </c>
      <c r="AI42" t="s">
        <v>34</v>
      </c>
      <c r="AJ42" t="s">
        <v>35</v>
      </c>
      <c r="AK42" t="s">
        <v>36</v>
      </c>
      <c r="AL42" t="s">
        <v>37</v>
      </c>
      <c r="AM42" t="s">
        <v>38</v>
      </c>
      <c r="AN42" t="s">
        <v>39</v>
      </c>
      <c r="AO42" t="s">
        <v>40</v>
      </c>
      <c r="AP42" t="s">
        <v>41</v>
      </c>
      <c r="AQ42" t="s">
        <v>42</v>
      </c>
      <c r="AR42" t="s">
        <v>43</v>
      </c>
      <c r="AS42" t="s">
        <v>44</v>
      </c>
      <c r="AT42" t="s">
        <v>45</v>
      </c>
      <c r="AU42" t="s">
        <v>46</v>
      </c>
      <c r="AV42" t="s">
        <v>47</v>
      </c>
      <c r="AW42" t="s">
        <v>48</v>
      </c>
      <c r="AX42" t="s">
        <v>49</v>
      </c>
      <c r="AY42" t="s">
        <v>50</v>
      </c>
      <c r="AZ42" t="s">
        <v>51</v>
      </c>
      <c r="BA42" t="s">
        <v>52</v>
      </c>
      <c r="BB42" t="s">
        <v>53</v>
      </c>
      <c r="BC42" t="s">
        <v>54</v>
      </c>
      <c r="BD42" t="s">
        <v>55</v>
      </c>
      <c r="BE42" t="s">
        <v>56</v>
      </c>
      <c r="BF42" t="s">
        <v>57</v>
      </c>
      <c r="BG42" t="s">
        <v>58</v>
      </c>
      <c r="BH42" t="s">
        <v>59</v>
      </c>
      <c r="BI42" t="s">
        <v>60</v>
      </c>
      <c r="BJ42" t="s">
        <v>61</v>
      </c>
      <c r="BK42" t="s">
        <v>62</v>
      </c>
      <c r="BL42" t="s">
        <v>63</v>
      </c>
      <c r="BM42" t="s">
        <v>64</v>
      </c>
      <c r="BN42" t="s">
        <v>65</v>
      </c>
      <c r="BO42" t="s">
        <v>66</v>
      </c>
      <c r="BP42" t="s">
        <v>67</v>
      </c>
      <c r="BQ42" t="s">
        <v>68</v>
      </c>
      <c r="BR42" t="s">
        <v>69</v>
      </c>
      <c r="BS42" t="s">
        <v>70</v>
      </c>
      <c r="BT42" t="s">
        <v>71</v>
      </c>
      <c r="BU42" t="s">
        <v>72</v>
      </c>
      <c r="BV42" t="s">
        <v>73</v>
      </c>
      <c r="BW42" t="s">
        <v>74</v>
      </c>
      <c r="BX42" t="s">
        <v>75</v>
      </c>
      <c r="BY42" t="s">
        <v>76</v>
      </c>
      <c r="BZ42" t="s">
        <v>77</v>
      </c>
      <c r="CA42" t="s">
        <v>78</v>
      </c>
      <c r="CB42" t="s">
        <v>79</v>
      </c>
      <c r="CC42" t="s">
        <v>80</v>
      </c>
      <c r="CD42" t="s">
        <v>81</v>
      </c>
      <c r="CE42" t="s">
        <v>82</v>
      </c>
      <c r="CF42" t="s">
        <v>83</v>
      </c>
      <c r="CG42" t="s">
        <v>84</v>
      </c>
      <c r="CH42" t="s">
        <v>85</v>
      </c>
      <c r="CI42" t="s">
        <v>86</v>
      </c>
      <c r="CJ42" t="s">
        <v>87</v>
      </c>
      <c r="CK42" t="s">
        <v>88</v>
      </c>
      <c r="CL42" t="s">
        <v>89</v>
      </c>
      <c r="CM42" t="s">
        <v>90</v>
      </c>
      <c r="CN42" t="s">
        <v>91</v>
      </c>
      <c r="CO42" t="s">
        <v>92</v>
      </c>
      <c r="CP42" t="s">
        <v>93</v>
      </c>
      <c r="CQ42" t="s">
        <v>94</v>
      </c>
      <c r="CR42" t="s">
        <v>95</v>
      </c>
      <c r="CS42" t="s">
        <v>96</v>
      </c>
      <c r="CT42" t="s">
        <v>97</v>
      </c>
      <c r="CU42" t="s">
        <v>98</v>
      </c>
      <c r="CV42" t="s">
        <v>99</v>
      </c>
      <c r="CW42" t="s">
        <v>100</v>
      </c>
      <c r="CX42" s="2" t="s">
        <v>101</v>
      </c>
      <c r="CY42" t="s">
        <v>102</v>
      </c>
      <c r="CZ42" t="s">
        <v>103</v>
      </c>
      <c r="DA42" t="s">
        <v>104</v>
      </c>
      <c r="DB42" t="s">
        <v>105</v>
      </c>
      <c r="DC42" t="s">
        <v>106</v>
      </c>
      <c r="DD42" t="s">
        <v>107</v>
      </c>
      <c r="DE42" t="s">
        <v>108</v>
      </c>
      <c r="DF42" t="s">
        <v>109</v>
      </c>
      <c r="DG42" t="s">
        <v>110</v>
      </c>
      <c r="DI42" t="s">
        <v>101</v>
      </c>
      <c r="DJ42" t="s">
        <v>102</v>
      </c>
      <c r="DK42" t="s">
        <v>103</v>
      </c>
      <c r="DL42" t="s">
        <v>104</v>
      </c>
      <c r="DM42" t="s">
        <v>105</v>
      </c>
      <c r="DN42" t="s">
        <v>106</v>
      </c>
      <c r="DO42" t="s">
        <v>107</v>
      </c>
      <c r="DP42" t="s">
        <v>108</v>
      </c>
      <c r="DQ42" t="s">
        <v>109</v>
      </c>
      <c r="DR42" t="s">
        <v>110</v>
      </c>
      <c r="DS42" s="1" t="s">
        <v>120</v>
      </c>
      <c r="DU42" t="s">
        <v>130</v>
      </c>
      <c r="DV42" t="s">
        <v>131</v>
      </c>
      <c r="DZ42" t="s">
        <v>101</v>
      </c>
      <c r="EA42" t="s">
        <v>102</v>
      </c>
      <c r="EB42" t="s">
        <v>103</v>
      </c>
      <c r="EC42" t="s">
        <v>104</v>
      </c>
      <c r="ED42" t="s">
        <v>105</v>
      </c>
      <c r="EE42" t="s">
        <v>106</v>
      </c>
      <c r="EF42" t="s">
        <v>107</v>
      </c>
      <c r="EG42" t="s">
        <v>108</v>
      </c>
      <c r="EH42" t="s">
        <v>109</v>
      </c>
      <c r="EI42" t="s">
        <v>110</v>
      </c>
      <c r="EJ42" s="1" t="s">
        <v>120</v>
      </c>
    </row>
    <row r="43" spans="1:140" x14ac:dyDescent="0.35">
      <c r="A43" t="s">
        <v>111</v>
      </c>
      <c r="B43">
        <v>3</v>
      </c>
      <c r="C43">
        <v>12</v>
      </c>
      <c r="D43">
        <v>41</v>
      </c>
      <c r="E43">
        <v>2</v>
      </c>
      <c r="F43">
        <v>31</v>
      </c>
      <c r="G43">
        <v>2</v>
      </c>
      <c r="H43">
        <v>43</v>
      </c>
      <c r="I43">
        <v>43</v>
      </c>
      <c r="J43">
        <v>22</v>
      </c>
      <c r="K43">
        <v>32</v>
      </c>
      <c r="L43">
        <v>3</v>
      </c>
      <c r="M43">
        <v>12</v>
      </c>
      <c r="N43">
        <v>41</v>
      </c>
      <c r="O43">
        <v>2</v>
      </c>
      <c r="P43">
        <v>31</v>
      </c>
      <c r="Q43">
        <v>2</v>
      </c>
      <c r="R43">
        <v>43</v>
      </c>
      <c r="S43">
        <v>43</v>
      </c>
      <c r="T43">
        <v>22</v>
      </c>
      <c r="U43">
        <v>32</v>
      </c>
      <c r="V43">
        <v>3</v>
      </c>
      <c r="W43">
        <v>12</v>
      </c>
      <c r="X43">
        <v>41</v>
      </c>
      <c r="Y43">
        <v>2</v>
      </c>
      <c r="Z43">
        <v>31</v>
      </c>
      <c r="AA43">
        <v>2</v>
      </c>
      <c r="AB43">
        <v>43</v>
      </c>
      <c r="AC43">
        <v>43</v>
      </c>
      <c r="AD43">
        <v>22</v>
      </c>
      <c r="AE43">
        <v>32</v>
      </c>
      <c r="AF43">
        <v>3</v>
      </c>
      <c r="AG43">
        <v>12</v>
      </c>
      <c r="AH43">
        <v>41</v>
      </c>
      <c r="AI43">
        <v>2</v>
      </c>
      <c r="AJ43">
        <v>31</v>
      </c>
      <c r="AK43">
        <v>2</v>
      </c>
      <c r="AL43">
        <v>43</v>
      </c>
      <c r="AM43">
        <v>43</v>
      </c>
      <c r="AN43">
        <v>22</v>
      </c>
      <c r="AO43">
        <v>32</v>
      </c>
      <c r="AP43">
        <v>3</v>
      </c>
      <c r="AQ43">
        <v>12</v>
      </c>
      <c r="AR43">
        <v>41</v>
      </c>
      <c r="AS43">
        <v>2</v>
      </c>
      <c r="AT43">
        <v>31</v>
      </c>
      <c r="AU43">
        <v>2</v>
      </c>
      <c r="AV43">
        <v>43</v>
      </c>
      <c r="AW43">
        <v>43</v>
      </c>
      <c r="AX43">
        <v>22</v>
      </c>
      <c r="AY43">
        <v>32</v>
      </c>
      <c r="AZ43">
        <v>3</v>
      </c>
      <c r="BA43">
        <v>12</v>
      </c>
      <c r="BB43">
        <v>41</v>
      </c>
      <c r="BC43">
        <v>2</v>
      </c>
      <c r="BD43">
        <v>31</v>
      </c>
      <c r="BE43">
        <v>2</v>
      </c>
      <c r="BF43">
        <v>43</v>
      </c>
      <c r="BG43">
        <v>43</v>
      </c>
      <c r="BH43">
        <v>22</v>
      </c>
      <c r="BI43">
        <v>32</v>
      </c>
      <c r="BJ43">
        <v>3</v>
      </c>
      <c r="BK43">
        <v>12</v>
      </c>
      <c r="BL43">
        <v>41</v>
      </c>
      <c r="BM43">
        <v>2</v>
      </c>
      <c r="BN43">
        <v>31</v>
      </c>
      <c r="BO43">
        <v>2</v>
      </c>
      <c r="BP43">
        <v>43</v>
      </c>
      <c r="BQ43">
        <v>43</v>
      </c>
      <c r="BR43">
        <v>22</v>
      </c>
      <c r="BS43">
        <v>32</v>
      </c>
      <c r="BT43">
        <v>3</v>
      </c>
      <c r="BU43">
        <v>12</v>
      </c>
      <c r="BV43">
        <v>41</v>
      </c>
      <c r="BW43">
        <v>2</v>
      </c>
      <c r="BX43">
        <v>31</v>
      </c>
      <c r="BY43">
        <v>2</v>
      </c>
      <c r="BZ43">
        <v>43</v>
      </c>
      <c r="CA43">
        <v>43</v>
      </c>
      <c r="CB43">
        <v>22</v>
      </c>
      <c r="CC43">
        <v>32</v>
      </c>
      <c r="CD43">
        <v>3</v>
      </c>
      <c r="CE43">
        <v>12</v>
      </c>
      <c r="CF43">
        <v>41</v>
      </c>
      <c r="CG43">
        <v>2</v>
      </c>
      <c r="CH43">
        <v>31</v>
      </c>
      <c r="CI43">
        <v>2</v>
      </c>
      <c r="CJ43">
        <v>43</v>
      </c>
      <c r="CK43">
        <v>43</v>
      </c>
      <c r="CL43">
        <v>22</v>
      </c>
      <c r="CM43">
        <v>32</v>
      </c>
      <c r="CN43">
        <v>3</v>
      </c>
      <c r="CO43">
        <v>12</v>
      </c>
      <c r="CP43">
        <v>41</v>
      </c>
      <c r="CQ43">
        <v>2</v>
      </c>
      <c r="CR43">
        <v>31</v>
      </c>
      <c r="CS43">
        <v>2</v>
      </c>
      <c r="CT43">
        <v>43</v>
      </c>
      <c r="CU43">
        <v>43</v>
      </c>
      <c r="CV43">
        <v>22</v>
      </c>
      <c r="CW43">
        <v>32</v>
      </c>
      <c r="CX43" s="2">
        <f>$CW44 + CX44*$CW45</f>
        <v>9.4996787302440495</v>
      </c>
      <c r="CY43">
        <f t="shared" ref="CY43:DG43" si="146">$CW44 + CY44*$CW45</f>
        <v>11.99971474892266</v>
      </c>
      <c r="CZ43">
        <f t="shared" si="146"/>
        <v>14.499750767601268</v>
      </c>
      <c r="DA43">
        <f t="shared" si="146"/>
        <v>16.999786786279877</v>
      </c>
      <c r="DB43">
        <f t="shared" si="146"/>
        <v>19.499822804958484</v>
      </c>
      <c r="DC43">
        <f t="shared" si="146"/>
        <v>21.999858823637098</v>
      </c>
      <c r="DD43">
        <f t="shared" si="146"/>
        <v>24.499894842315705</v>
      </c>
      <c r="DE43">
        <f t="shared" si="146"/>
        <v>26.999930860994311</v>
      </c>
      <c r="DF43">
        <f t="shared" si="146"/>
        <v>29.499966879672925</v>
      </c>
      <c r="DG43">
        <f t="shared" si="146"/>
        <v>32.000002898351532</v>
      </c>
      <c r="DI43">
        <f t="shared" ref="DI43:DR43" si="147">ABS(CX43-CX2)</f>
        <v>6.4996787302440495</v>
      </c>
      <c r="DJ43">
        <f t="shared" si="147"/>
        <v>2.8525107734012067E-4</v>
      </c>
      <c r="DK43">
        <f t="shared" si="147"/>
        <v>26.50024923239873</v>
      </c>
      <c r="DL43">
        <f t="shared" si="147"/>
        <v>14.999786786279877</v>
      </c>
      <c r="DM43">
        <f t="shared" si="147"/>
        <v>11.500177195041516</v>
      </c>
      <c r="DN43">
        <f t="shared" si="147"/>
        <v>19.999858823637098</v>
      </c>
      <c r="DO43">
        <f t="shared" si="147"/>
        <v>18.500105157684295</v>
      </c>
      <c r="DP43">
        <f t="shared" si="147"/>
        <v>16.000069139005689</v>
      </c>
      <c r="DQ43">
        <f t="shared" si="147"/>
        <v>7.4999668796729253</v>
      </c>
      <c r="DR43">
        <f t="shared" si="147"/>
        <v>2.8983515321101549E-6</v>
      </c>
      <c r="DS43" s="1">
        <f t="shared" si="36"/>
        <v>121.50018009339303</v>
      </c>
      <c r="DU43" s="3">
        <v>2.2644170329083894E-2</v>
      </c>
      <c r="DV43" s="3">
        <v>0.65672796967342584</v>
      </c>
      <c r="DZ43">
        <f>ABS(CX43-CX$2)/MAX($B$2:$CW$2)</f>
        <v>0.15115531930800116</v>
      </c>
      <c r="EA43">
        <f t="shared" ref="EA43" si="148">ABS(CY43-CY$2)/MAX($B$2:$CW$2)</f>
        <v>6.6337459846539692E-6</v>
      </c>
      <c r="EB43">
        <f t="shared" ref="EB43" si="149">ABS(CZ43-CZ$2)/MAX($B$2:$CW$2)</f>
        <v>0.61628486586973785</v>
      </c>
      <c r="EC43">
        <f t="shared" ref="EC43" si="150">ABS(DA43-DA$2)/MAX($B$2:$CW$2)</f>
        <v>0.34883225084371805</v>
      </c>
      <c r="ED43">
        <f t="shared" ref="ED43" si="151">ABS(DB43-DB$2)/MAX($B$2:$CW$2)</f>
        <v>0.26744598128003527</v>
      </c>
      <c r="EE43">
        <f t="shared" ref="EE43" si="152">ABS(DC43-DC$2)/MAX($B$2:$CW$2)</f>
        <v>0.46511299589853716</v>
      </c>
      <c r="EF43">
        <f t="shared" ref="EF43" si="153">ABS(DD43-DD$2)/MAX($B$2:$CW$2)</f>
        <v>0.43023500366707662</v>
      </c>
      <c r="EG43">
        <f t="shared" ref="EG43" si="154">ABS(DE43-DE$2)/MAX($B$2:$CW$2)</f>
        <v>0.37209463113966718</v>
      </c>
      <c r="EH43">
        <f t="shared" ref="EH43" si="155">ABS(DF43-DF$2)/MAX($B$2:$CW$2)</f>
        <v>0.17441783441099826</v>
      </c>
      <c r="EI43">
        <f t="shared" ref="EI43" si="156">ABS(DG43-DG$2)/MAX($B$2:$CW$2)</f>
        <v>6.7403524002561738E-8</v>
      </c>
      <c r="EJ43" s="1">
        <f t="shared" ref="EJ43" si="157">SUM(DZ43:EI43)</f>
        <v>2.8255855835672805</v>
      </c>
    </row>
    <row r="44" spans="1:140" x14ac:dyDescent="0.35">
      <c r="A44" t="s">
        <v>128</v>
      </c>
      <c r="B44">
        <f>B43</f>
        <v>3</v>
      </c>
      <c r="C44">
        <f>$DU$43*C43 + (1-$DU$43)*(B44 + B45)</f>
        <v>11.999999999999998</v>
      </c>
      <c r="D44">
        <f t="shared" ref="D44:BO44" si="158">$DU$43*D43 + (1-$DU$43)*(C44 + C45)</f>
        <v>21.452883406581673</v>
      </c>
      <c r="E44">
        <f t="shared" si="158"/>
        <v>30.099277812158025</v>
      </c>
      <c r="F44">
        <f t="shared" si="158"/>
        <v>38.788696683179282</v>
      </c>
      <c r="G44">
        <f t="shared" si="158"/>
        <v>46.508843757943403</v>
      </c>
      <c r="H44">
        <f t="shared" si="158"/>
        <v>54.320691804588826</v>
      </c>
      <c r="I44">
        <f t="shared" si="158"/>
        <v>61.787296346355141</v>
      </c>
      <c r="J44">
        <f t="shared" si="158"/>
        <v>68.329911234885685</v>
      </c>
      <c r="K44">
        <f t="shared" si="158"/>
        <v>74.261840850765921</v>
      </c>
      <c r="L44">
        <f t="shared" si="158"/>
        <v>78.774287531280393</v>
      </c>
      <c r="M44">
        <f t="shared" si="158"/>
        <v>82.261507156796341</v>
      </c>
      <c r="N44">
        <f t="shared" si="158"/>
        <v>85.281579437699023</v>
      </c>
      <c r="O44">
        <f t="shared" si="158"/>
        <v>86.691628019691308</v>
      </c>
      <c r="P44">
        <f t="shared" si="158"/>
        <v>87.466973878748718</v>
      </c>
      <c r="Q44">
        <f t="shared" si="158"/>
        <v>86.728357977705656</v>
      </c>
      <c r="R44">
        <f t="shared" si="158"/>
        <v>85.674877908800994</v>
      </c>
      <c r="S44">
        <f t="shared" si="158"/>
        <v>84.010632351920307</v>
      </c>
      <c r="T44">
        <f t="shared" si="158"/>
        <v>81.298673103433387</v>
      </c>
      <c r="U44">
        <f t="shared" si="158"/>
        <v>77.992731499438136</v>
      </c>
      <c r="V44">
        <f t="shared" si="158"/>
        <v>73.42100859074904</v>
      </c>
      <c r="W44">
        <f t="shared" si="158"/>
        <v>68.109371042886607</v>
      </c>
      <c r="X44">
        <f t="shared" si="158"/>
        <v>62.740286236297294</v>
      </c>
      <c r="Y44">
        <f t="shared" si="158"/>
        <v>56.286356156596113</v>
      </c>
      <c r="Z44">
        <f t="shared" si="158"/>
        <v>49.827955248588971</v>
      </c>
      <c r="AA44">
        <f t="shared" si="158"/>
        <v>42.579126878976609</v>
      </c>
      <c r="AB44">
        <f t="shared" si="158"/>
        <v>35.819398566370282</v>
      </c>
      <c r="AC44">
        <f t="shared" si="158"/>
        <v>29.319521847845579</v>
      </c>
      <c r="AD44">
        <f t="shared" si="158"/>
        <v>22.694745079442381</v>
      </c>
      <c r="AE44">
        <f t="shared" si="158"/>
        <v>16.436090992101224</v>
      </c>
      <c r="AF44">
        <f t="shared" si="158"/>
        <v>9.8939298191724934</v>
      </c>
      <c r="AG44">
        <f t="shared" si="158"/>
        <v>3.6011879471133694</v>
      </c>
      <c r="AH44">
        <f t="shared" si="158"/>
        <v>-1.7674798286039304</v>
      </c>
      <c r="AI44">
        <f t="shared" si="158"/>
        <v>-7.2617034608013205</v>
      </c>
      <c r="AJ44">
        <f t="shared" si="158"/>
        <v>-11.837102669786161</v>
      </c>
      <c r="AK44">
        <f t="shared" si="158"/>
        <v>-16.3285435750531</v>
      </c>
      <c r="AL44">
        <f t="shared" si="158"/>
        <v>-19.51730367263394</v>
      </c>
      <c r="AM44">
        <f t="shared" si="158"/>
        <v>-21.704158369150115</v>
      </c>
      <c r="AN44">
        <f t="shared" si="158"/>
        <v>-23.354801710653273</v>
      </c>
      <c r="AO44">
        <f t="shared" si="158"/>
        <v>-24.067151922126836</v>
      </c>
      <c r="AP44">
        <f t="shared" si="158"/>
        <v>-24.586274513068979</v>
      </c>
      <c r="AQ44">
        <f t="shared" si="158"/>
        <v>-24.479607327075776</v>
      </c>
      <c r="AR44">
        <f t="shared" si="158"/>
        <v>-23.176184161941727</v>
      </c>
      <c r="AS44">
        <f t="shared" si="158"/>
        <v>-21.831030690229781</v>
      </c>
      <c r="AT44">
        <f t="shared" si="158"/>
        <v>-19.505263475927421</v>
      </c>
      <c r="AU44">
        <f t="shared" si="158"/>
        <v>-17.137775466388099</v>
      </c>
      <c r="AV44">
        <f t="shared" si="158"/>
        <v>-13.610887267770503</v>
      </c>
      <c r="AW44">
        <f t="shared" si="158"/>
        <v>-9.3219986247497602</v>
      </c>
      <c r="AX44">
        <f t="shared" si="158"/>
        <v>-4.8276723024563406</v>
      </c>
      <c r="AY44">
        <f t="shared" si="158"/>
        <v>0.19028135697997739</v>
      </c>
      <c r="AZ44">
        <f t="shared" si="158"/>
        <v>4.9109709141926965</v>
      </c>
      <c r="BA44">
        <f t="shared" si="158"/>
        <v>9.7001437428298463</v>
      </c>
      <c r="BB44">
        <f t="shared" si="158"/>
        <v>15.071751966146964</v>
      </c>
      <c r="BC44">
        <f t="shared" si="158"/>
        <v>19.82418246741997</v>
      </c>
      <c r="BD44">
        <f t="shared" si="158"/>
        <v>24.860614575472553</v>
      </c>
      <c r="BE44">
        <f t="shared" si="158"/>
        <v>29.217619086519036</v>
      </c>
      <c r="BF44">
        <f t="shared" si="158"/>
        <v>33.999618982152057</v>
      </c>
      <c r="BG44">
        <f t="shared" si="158"/>
        <v>38.807179663820406</v>
      </c>
      <c r="BH44">
        <f t="shared" si="158"/>
        <v>43.092701228445065</v>
      </c>
      <c r="BI44">
        <f t="shared" si="158"/>
        <v>47.193951590463151</v>
      </c>
      <c r="BJ44">
        <f t="shared" si="158"/>
        <v>50.319701435360805</v>
      </c>
      <c r="BK44">
        <f t="shared" si="158"/>
        <v>52.874774681854802</v>
      </c>
      <c r="BL44">
        <f t="shared" si="158"/>
        <v>55.420820127104136</v>
      </c>
      <c r="BM44">
        <f t="shared" si="158"/>
        <v>56.811636961357621</v>
      </c>
      <c r="BN44">
        <f t="shared" si="158"/>
        <v>58.012533699629834</v>
      </c>
      <c r="BO44">
        <f t="shared" si="158"/>
        <v>58.127851178530975</v>
      </c>
      <c r="BP44">
        <f t="shared" ref="BP44:CW44" si="159">$DU$43*BP43 + (1-$DU$43)*(BO44 + BO45)</f>
        <v>58.334287729453855</v>
      </c>
      <c r="BQ44">
        <f t="shared" si="159"/>
        <v>58.308012582994408</v>
      </c>
      <c r="BR44">
        <f t="shared" si="159"/>
        <v>57.57915846483462</v>
      </c>
      <c r="BS44">
        <f t="shared" si="159"/>
        <v>56.564150546298734</v>
      </c>
      <c r="BT44">
        <f t="shared" si="159"/>
        <v>54.550150743662357</v>
      </c>
      <c r="BU44">
        <f t="shared" si="159"/>
        <v>52.018948443577401</v>
      </c>
      <c r="BV44">
        <f t="shared" si="159"/>
        <v>49.60661987540859</v>
      </c>
      <c r="BW44">
        <f t="shared" si="159"/>
        <v>46.237804282784047</v>
      </c>
      <c r="BX44">
        <f t="shared" si="159"/>
        <v>42.944090621803866</v>
      </c>
      <c r="BY44">
        <f t="shared" si="159"/>
        <v>38.890658146090821</v>
      </c>
      <c r="BZ44">
        <f t="shared" si="159"/>
        <v>35.308820078347395</v>
      </c>
      <c r="CA44">
        <f t="shared" si="159"/>
        <v>31.922465760026515</v>
      </c>
      <c r="CB44">
        <f t="shared" si="159"/>
        <v>28.301999725165398</v>
      </c>
      <c r="CC44">
        <f t="shared" si="159"/>
        <v>24.896240427093755</v>
      </c>
      <c r="CD44">
        <f t="shared" si="159"/>
        <v>21.01656121799498</v>
      </c>
      <c r="CE44">
        <f t="shared" si="159"/>
        <v>17.160606295731583</v>
      </c>
      <c r="CF44">
        <f t="shared" si="159"/>
        <v>13.971903527165797</v>
      </c>
      <c r="CG44">
        <f t="shared" si="159"/>
        <v>10.374220088858694</v>
      </c>
      <c r="CH44">
        <f t="shared" si="159"/>
        <v>7.3901506172243527</v>
      </c>
      <c r="CI44">
        <f t="shared" si="159"/>
        <v>4.1680754703200966</v>
      </c>
      <c r="CJ44">
        <f t="shared" si="159"/>
        <v>1.915130944933046</v>
      </c>
      <c r="CK44">
        <f t="shared" si="159"/>
        <v>0.32417803214281704</v>
      </c>
      <c r="CL44">
        <f t="shared" si="159"/>
        <v>-1.0716419395619339</v>
      </c>
      <c r="CM44">
        <f t="shared" si="159"/>
        <v>-1.8663132510870692</v>
      </c>
      <c r="CN44">
        <f t="shared" si="159"/>
        <v>-2.7960428531114161</v>
      </c>
      <c r="CO44">
        <f t="shared" si="159"/>
        <v>-3.4147286656446867</v>
      </c>
      <c r="CP44">
        <f t="shared" si="159"/>
        <v>-3.1334905567652944</v>
      </c>
      <c r="CQ44">
        <f t="shared" si="159"/>
        <v>-3.0854317080539158</v>
      </c>
      <c r="CR44">
        <f t="shared" si="159"/>
        <v>-2.3061544124725386</v>
      </c>
      <c r="CS44">
        <f t="shared" si="159"/>
        <v>-1.7059063234403733</v>
      </c>
      <c r="CT44">
        <f t="shared" si="159"/>
        <v>-0.13572861557414184</v>
      </c>
      <c r="CU44">
        <f t="shared" si="159"/>
        <v>2.0403677294366718</v>
      </c>
      <c r="CV44">
        <f t="shared" si="159"/>
        <v>4.3007737505325752</v>
      </c>
      <c r="CW44">
        <f t="shared" si="159"/>
        <v>6.9996427115654409</v>
      </c>
      <c r="CX44" s="2">
        <v>1</v>
      </c>
      <c r="CY44">
        <v>2</v>
      </c>
      <c r="CZ44">
        <v>3</v>
      </c>
      <c r="DA44">
        <v>4</v>
      </c>
      <c r="DB44">
        <v>5</v>
      </c>
      <c r="DC44">
        <v>6</v>
      </c>
      <c r="DD44">
        <v>7</v>
      </c>
      <c r="DE44">
        <v>8</v>
      </c>
      <c r="DF44">
        <v>9</v>
      </c>
      <c r="DG44">
        <v>10</v>
      </c>
      <c r="DS44" s="1"/>
      <c r="DU44" s="3"/>
      <c r="DV44" s="3"/>
      <c r="EJ44" s="1"/>
    </row>
    <row r="45" spans="1:140" x14ac:dyDescent="0.35">
      <c r="A45" t="s">
        <v>129</v>
      </c>
      <c r="B45">
        <f>C43 - B43</f>
        <v>9</v>
      </c>
      <c r="C45">
        <f>$DV$43*(C44 - B44) + (1-$DV$43)*B45</f>
        <v>8.9999999999999982</v>
      </c>
      <c r="D45">
        <f t="shared" ref="D45:BO45" si="160">$DV$43*(D44 - C44) + (1-$DV$43)*C45</f>
        <v>9.2974212001031677</v>
      </c>
      <c r="E45">
        <f t="shared" si="160"/>
        <v>8.8698736951305737</v>
      </c>
      <c r="F45">
        <f t="shared" si="160"/>
        <v>8.7513639648754875</v>
      </c>
      <c r="G45">
        <f t="shared" si="160"/>
        <v>8.0741349903397062</v>
      </c>
      <c r="H45">
        <f t="shared" si="160"/>
        <v>7.9018838183355111</v>
      </c>
      <c r="I45">
        <f t="shared" si="160"/>
        <v>7.6160237427933053</v>
      </c>
      <c r="J45">
        <f t="shared" si="160"/>
        <v>6.9110861253038438</v>
      </c>
      <c r="K45">
        <f t="shared" si="160"/>
        <v>6.2680466588775587</v>
      </c>
      <c r="L45">
        <f t="shared" si="160"/>
        <v>5.1150950495284579</v>
      </c>
      <c r="M45">
        <f t="shared" si="160"/>
        <v>4.0460237274354549</v>
      </c>
      <c r="N45">
        <f t="shared" si="160"/>
        <v>3.3722527169704719</v>
      </c>
      <c r="O45">
        <f t="shared" si="160"/>
        <v>2.0836183793214467</v>
      </c>
      <c r="P45">
        <f t="shared" si="160"/>
        <v>1.2244392233089099</v>
      </c>
      <c r="Q45">
        <f t="shared" si="160"/>
        <v>-6.4753982863774928E-2</v>
      </c>
      <c r="R45">
        <f t="shared" si="160"/>
        <v>-0.71407805791255963</v>
      </c>
      <c r="S45">
        <f t="shared" si="160"/>
        <v>-1.3380796303595748</v>
      </c>
      <c r="T45">
        <f t="shared" si="160"/>
        <v>-2.2403448025480479</v>
      </c>
      <c r="U45">
        <f t="shared" si="160"/>
        <v>-2.9401520264529664</v>
      </c>
      <c r="V45">
        <f t="shared" si="160"/>
        <v>-4.0116502593221801</v>
      </c>
      <c r="W45">
        <f t="shared" si="160"/>
        <v>-4.8653882719264816</v>
      </c>
      <c r="X45">
        <f t="shared" si="160"/>
        <v>-5.196179874467143</v>
      </c>
      <c r="Y45">
        <f t="shared" si="160"/>
        <v>-6.022179613106827</v>
      </c>
      <c r="Z45">
        <f t="shared" si="160"/>
        <v>-6.3086583384350234</v>
      </c>
      <c r="AA45">
        <f t="shared" si="160"/>
        <v>-6.9260942941579184</v>
      </c>
      <c r="AB45">
        <f t="shared" si="160"/>
        <v>-6.8168371008708153</v>
      </c>
      <c r="AC45">
        <f t="shared" si="160"/>
        <v>-6.6086803525057407</v>
      </c>
      <c r="AD45">
        <f t="shared" si="160"/>
        <v>-6.6192513190370974</v>
      </c>
      <c r="AE45">
        <f t="shared" si="160"/>
        <v>-6.3824370311955647</v>
      </c>
      <c r="AF45">
        <f t="shared" si="160"/>
        <v>-6.4873323425038176</v>
      </c>
      <c r="AG45">
        <f t="shared" si="160"/>
        <v>-6.3595393379308769</v>
      </c>
      <c r="AH45">
        <f t="shared" si="160"/>
        <v>-5.7088062686712187</v>
      </c>
      <c r="AI45">
        <f t="shared" si="160"/>
        <v>-5.5678838494925902</v>
      </c>
      <c r="AJ45">
        <f t="shared" si="160"/>
        <v>-4.9160914265998752</v>
      </c>
      <c r="AK45">
        <f t="shared" si="160"/>
        <v>-4.6372115519041346</v>
      </c>
      <c r="AL45">
        <f t="shared" si="160"/>
        <v>-3.685972969135876</v>
      </c>
      <c r="AM45">
        <f t="shared" si="160"/>
        <v>-2.7014600696580064</v>
      </c>
      <c r="AN45">
        <f t="shared" si="160"/>
        <v>-2.0113593332780009</v>
      </c>
      <c r="AO45">
        <f t="shared" si="160"/>
        <v>-1.1582637101281124</v>
      </c>
      <c r="AP45">
        <f t="shared" si="160"/>
        <v>-0.73852186059030944</v>
      </c>
      <c r="AQ45">
        <f t="shared" si="160"/>
        <v>-0.18346257403730087</v>
      </c>
      <c r="AR45">
        <f t="shared" si="160"/>
        <v>0.79301687858507075</v>
      </c>
      <c r="AS45">
        <f t="shared" si="160"/>
        <v>1.1556204223716859</v>
      </c>
      <c r="AT45">
        <f t="shared" si="160"/>
        <v>1.9240885492561901</v>
      </c>
      <c r="AU45">
        <f t="shared" si="160"/>
        <v>2.2152813765622241</v>
      </c>
      <c r="AV45">
        <f t="shared" si="160"/>
        <v>3.076650261820463</v>
      </c>
      <c r="AW45">
        <f t="shared" si="160"/>
        <v>3.8727611126663231</v>
      </c>
      <c r="AX45">
        <f t="shared" si="160"/>
        <v>4.2809603708043635</v>
      </c>
      <c r="AY45">
        <f t="shared" si="160"/>
        <v>4.7649644769105688</v>
      </c>
      <c r="AZ45">
        <f t="shared" si="160"/>
        <v>4.7358878987899455</v>
      </c>
      <c r="BA45">
        <f t="shared" si="160"/>
        <v>4.7708816025826906</v>
      </c>
      <c r="BB45">
        <f t="shared" si="160"/>
        <v>5.1653955765463895</v>
      </c>
      <c r="BC45">
        <f t="shared" si="160"/>
        <v>4.8941898611160664</v>
      </c>
      <c r="BD45">
        <f t="shared" si="160"/>
        <v>4.9876043231484717</v>
      </c>
      <c r="BE45">
        <f t="shared" si="160"/>
        <v>4.5734717888702887</v>
      </c>
      <c r="BF45">
        <f t="shared" si="160"/>
        <v>4.7104180290444209</v>
      </c>
      <c r="BG45">
        <f t="shared" si="160"/>
        <v>4.7742143260708243</v>
      </c>
      <c r="BH45">
        <f t="shared" si="160"/>
        <v>4.4532761210521841</v>
      </c>
      <c r="BI45">
        <f t="shared" si="160"/>
        <v>4.2220909590489732</v>
      </c>
      <c r="BJ45">
        <f t="shared" si="160"/>
        <v>3.5020930850828762</v>
      </c>
      <c r="BK45">
        <f t="shared" si="160"/>
        <v>2.880158669245946</v>
      </c>
      <c r="BL45">
        <f t="shared" si="160"/>
        <v>2.6607371700096083</v>
      </c>
      <c r="BM45">
        <f t="shared" si="160"/>
        <v>1.8267449662614941</v>
      </c>
      <c r="BN45">
        <f t="shared" si="160"/>
        <v>1.4157329301703823</v>
      </c>
      <c r="BO45">
        <f t="shared" si="160"/>
        <v>0.56171373112638112</v>
      </c>
      <c r="BP45">
        <f t="shared" ref="BP45:CW45" si="161">$DV$43*(BP44 - BO44) + (1-$DV$43)*BO45</f>
        <v>0.32839326990003648</v>
      </c>
      <c r="BQ45">
        <f t="shared" si="161"/>
        <v>9.5472600916983466E-2</v>
      </c>
      <c r="BR45">
        <f t="shared" si="161"/>
        <v>-0.44588581164986102</v>
      </c>
      <c r="BS45">
        <f t="shared" si="161"/>
        <v>-0.81964421740138282</v>
      </c>
      <c r="BT45">
        <f t="shared" si="161"/>
        <v>-1.604010935960877</v>
      </c>
      <c r="BU45">
        <f t="shared" si="161"/>
        <v>-2.2129234380208178</v>
      </c>
      <c r="BV45">
        <f t="shared" si="161"/>
        <v>-2.343878364285374</v>
      </c>
      <c r="BW45">
        <f t="shared" si="161"/>
        <v>-3.0169833092952647</v>
      </c>
      <c r="BX45">
        <f t="shared" si="161"/>
        <v>-3.1987198713043128</v>
      </c>
      <c r="BY45">
        <f t="shared" si="161"/>
        <v>-3.7600335446519453</v>
      </c>
      <c r="BZ45">
        <f t="shared" si="161"/>
        <v>-3.643007590896826</v>
      </c>
      <c r="CA45">
        <f t="shared" si="161"/>
        <v>-3.4744562082879842</v>
      </c>
      <c r="CB45">
        <f t="shared" si="161"/>
        <v>-3.570344945245727</v>
      </c>
      <c r="CC45">
        <f t="shared" si="161"/>
        <v>-3.4622569473397045</v>
      </c>
      <c r="CD45">
        <f t="shared" si="161"/>
        <v>-3.7363898218012284</v>
      </c>
      <c r="CE45">
        <f t="shared" si="161"/>
        <v>-3.8149115674715475</v>
      </c>
      <c r="CF45">
        <f t="shared" si="161"/>
        <v>-3.4036627343745325</v>
      </c>
      <c r="CG45">
        <f t="shared" si="161"/>
        <v>-3.5310815573427781</v>
      </c>
      <c r="CH45">
        <f t="shared" si="161"/>
        <v>-3.1718434209086501</v>
      </c>
      <c r="CI45">
        <f t="shared" si="161"/>
        <v>-3.2048320003349362</v>
      </c>
      <c r="CJ45">
        <f t="shared" si="161"/>
        <v>-2.5797008715548473</v>
      </c>
      <c r="CK45">
        <f t="shared" si="161"/>
        <v>-1.9303624320766151</v>
      </c>
      <c r="CL45">
        <f t="shared" si="161"/>
        <v>-1.5793134473723631</v>
      </c>
      <c r="CM45">
        <f t="shared" si="161"/>
        <v>-1.0640170105771929</v>
      </c>
      <c r="CN45">
        <f t="shared" si="161"/>
        <v>-0.97582671340557647</v>
      </c>
      <c r="CO45">
        <f t="shared" si="161"/>
        <v>-0.74128229468836881</v>
      </c>
      <c r="CP45">
        <f t="shared" si="161"/>
        <v>-6.976454610366109E-2</v>
      </c>
      <c r="CQ45">
        <f t="shared" si="161"/>
        <v>7.6133727532504206E-3</v>
      </c>
      <c r="CR45">
        <f t="shared" si="161"/>
        <v>0.51438665406239725</v>
      </c>
      <c r="CS45">
        <f t="shared" si="161"/>
        <v>0.57077425992333997</v>
      </c>
      <c r="CT45">
        <f t="shared" si="161"/>
        <v>1.2271104571754965</v>
      </c>
      <c r="CU45">
        <f t="shared" si="161"/>
        <v>1.8503360325423177</v>
      </c>
      <c r="CV45">
        <f t="shared" si="161"/>
        <v>2.1196404635491191</v>
      </c>
      <c r="CW45">
        <f t="shared" si="161"/>
        <v>2.500036018678609</v>
      </c>
      <c r="DS45" s="1"/>
      <c r="DU45" s="3"/>
      <c r="DV45" s="3"/>
      <c r="EJ45" s="1"/>
    </row>
    <row r="46" spans="1:140" x14ac:dyDescent="0.35">
      <c r="A46" t="s">
        <v>112</v>
      </c>
      <c r="B46">
        <v>0.01</v>
      </c>
      <c r="C46">
        <v>0</v>
      </c>
      <c r="D46">
        <v>112</v>
      </c>
      <c r="E46">
        <v>2</v>
      </c>
      <c r="F46">
        <v>100</v>
      </c>
      <c r="G46">
        <v>33</v>
      </c>
      <c r="H46">
        <v>55</v>
      </c>
      <c r="I46">
        <v>53</v>
      </c>
      <c r="J46">
        <v>23</v>
      </c>
      <c r="K46">
        <v>12</v>
      </c>
      <c r="L46">
        <v>0</v>
      </c>
      <c r="M46">
        <v>0</v>
      </c>
      <c r="N46">
        <v>112</v>
      </c>
      <c r="O46">
        <v>2</v>
      </c>
      <c r="P46">
        <v>100</v>
      </c>
      <c r="Q46">
        <v>33</v>
      </c>
      <c r="R46">
        <v>55</v>
      </c>
      <c r="S46">
        <v>53</v>
      </c>
      <c r="T46">
        <v>23</v>
      </c>
      <c r="U46">
        <v>12</v>
      </c>
      <c r="V46">
        <v>0</v>
      </c>
      <c r="W46">
        <v>0</v>
      </c>
      <c r="X46">
        <v>112</v>
      </c>
      <c r="Y46">
        <v>2</v>
      </c>
      <c r="Z46">
        <v>100</v>
      </c>
      <c r="AA46">
        <v>33</v>
      </c>
      <c r="AB46">
        <v>55</v>
      </c>
      <c r="AC46">
        <v>53</v>
      </c>
      <c r="AD46">
        <v>23</v>
      </c>
      <c r="AE46">
        <v>12</v>
      </c>
      <c r="AF46">
        <v>0</v>
      </c>
      <c r="AG46">
        <v>0</v>
      </c>
      <c r="AH46">
        <v>112</v>
      </c>
      <c r="AI46">
        <v>2</v>
      </c>
      <c r="AJ46">
        <v>100</v>
      </c>
      <c r="AK46">
        <v>33</v>
      </c>
      <c r="AL46">
        <v>55</v>
      </c>
      <c r="AM46">
        <v>53</v>
      </c>
      <c r="AN46">
        <v>23</v>
      </c>
      <c r="AO46">
        <v>12</v>
      </c>
      <c r="AP46">
        <v>0</v>
      </c>
      <c r="AQ46">
        <v>0</v>
      </c>
      <c r="AR46">
        <v>112</v>
      </c>
      <c r="AS46">
        <v>2</v>
      </c>
      <c r="AT46">
        <v>100</v>
      </c>
      <c r="AU46">
        <v>33</v>
      </c>
      <c r="AV46">
        <v>55</v>
      </c>
      <c r="AW46">
        <v>53</v>
      </c>
      <c r="AX46">
        <v>23</v>
      </c>
      <c r="AY46">
        <v>12</v>
      </c>
      <c r="AZ46">
        <v>0</v>
      </c>
      <c r="BA46">
        <v>0</v>
      </c>
      <c r="BB46">
        <v>112</v>
      </c>
      <c r="BC46">
        <v>2</v>
      </c>
      <c r="BD46">
        <v>100</v>
      </c>
      <c r="BE46">
        <v>33</v>
      </c>
      <c r="BF46">
        <v>55</v>
      </c>
      <c r="BG46">
        <v>53</v>
      </c>
      <c r="BH46">
        <v>23</v>
      </c>
      <c r="BI46">
        <v>12</v>
      </c>
      <c r="BJ46">
        <v>0</v>
      </c>
      <c r="BK46">
        <v>0</v>
      </c>
      <c r="BL46">
        <v>112</v>
      </c>
      <c r="BM46">
        <v>2</v>
      </c>
      <c r="BN46">
        <v>100</v>
      </c>
      <c r="BO46">
        <v>33</v>
      </c>
      <c r="BP46">
        <v>55</v>
      </c>
      <c r="BQ46">
        <v>53</v>
      </c>
      <c r="BR46">
        <v>23</v>
      </c>
      <c r="BS46">
        <v>12</v>
      </c>
      <c r="BT46">
        <v>0</v>
      </c>
      <c r="BU46">
        <v>0</v>
      </c>
      <c r="BV46">
        <v>112</v>
      </c>
      <c r="BW46">
        <v>2</v>
      </c>
      <c r="BX46">
        <v>100</v>
      </c>
      <c r="BY46">
        <v>33</v>
      </c>
      <c r="BZ46">
        <v>55</v>
      </c>
      <c r="CA46">
        <v>53</v>
      </c>
      <c r="CB46">
        <v>23</v>
      </c>
      <c r="CC46">
        <v>12</v>
      </c>
      <c r="CD46">
        <v>0</v>
      </c>
      <c r="CE46">
        <v>0</v>
      </c>
      <c r="CF46">
        <v>112</v>
      </c>
      <c r="CG46">
        <v>2</v>
      </c>
      <c r="CH46">
        <v>100</v>
      </c>
      <c r="CI46">
        <v>33</v>
      </c>
      <c r="CJ46">
        <v>55</v>
      </c>
      <c r="CK46">
        <v>53</v>
      </c>
      <c r="CL46">
        <v>23</v>
      </c>
      <c r="CM46">
        <v>12</v>
      </c>
      <c r="CN46">
        <v>0</v>
      </c>
      <c r="CO46">
        <v>0</v>
      </c>
      <c r="CP46">
        <v>112</v>
      </c>
      <c r="CQ46">
        <v>2</v>
      </c>
      <c r="CR46">
        <v>100</v>
      </c>
      <c r="CS46">
        <v>33</v>
      </c>
      <c r="CT46">
        <v>55</v>
      </c>
      <c r="CU46">
        <v>53</v>
      </c>
      <c r="CV46">
        <v>23</v>
      </c>
      <c r="CW46">
        <v>12</v>
      </c>
      <c r="CX46" s="2">
        <f>$CW47 + CX47*$CW48</f>
        <v>0.18427880493576707</v>
      </c>
      <c r="CY46">
        <f t="shared" ref="CY46:DG46" si="162">$CW47 + CY47*$CW48</f>
        <v>0.18955409316451474</v>
      </c>
      <c r="CZ46">
        <f t="shared" si="162"/>
        <v>0.19482938139326245</v>
      </c>
      <c r="DA46">
        <f t="shared" si="162"/>
        <v>0.20010466962201012</v>
      </c>
      <c r="DB46">
        <f t="shared" si="162"/>
        <v>0.20537995785075783</v>
      </c>
      <c r="DC46">
        <f t="shared" si="162"/>
        <v>0.21065524607950553</v>
      </c>
      <c r="DD46">
        <f t="shared" si="162"/>
        <v>0.21593053430825321</v>
      </c>
      <c r="DE46">
        <f t="shared" si="162"/>
        <v>0.22120582253700088</v>
      </c>
      <c r="DF46">
        <f t="shared" si="162"/>
        <v>0.22648111076574859</v>
      </c>
      <c r="DG46">
        <f t="shared" si="162"/>
        <v>0.23175639899449629</v>
      </c>
      <c r="DI46">
        <f t="shared" ref="DI46:DR46" si="163">ABS(CX46-CX3)</f>
        <v>0.18427880493576707</v>
      </c>
      <c r="DJ46">
        <f t="shared" si="163"/>
        <v>0.18955409316451474</v>
      </c>
      <c r="DK46">
        <f t="shared" si="163"/>
        <v>111.80517061860674</v>
      </c>
      <c r="DL46">
        <f t="shared" si="163"/>
        <v>1.7998953303779899</v>
      </c>
      <c r="DM46">
        <f t="shared" si="163"/>
        <v>99.794620042149248</v>
      </c>
      <c r="DN46">
        <f t="shared" si="163"/>
        <v>32.789344753920496</v>
      </c>
      <c r="DO46">
        <f t="shared" si="163"/>
        <v>54.784069465691744</v>
      </c>
      <c r="DP46">
        <f t="shared" si="163"/>
        <v>52.778794177462999</v>
      </c>
      <c r="DQ46">
        <f t="shared" si="163"/>
        <v>22.77351888923425</v>
      </c>
      <c r="DR46">
        <f t="shared" si="163"/>
        <v>11.768243601005503</v>
      </c>
      <c r="DS46" s="1">
        <f t="shared" si="36"/>
        <v>388.66748977654925</v>
      </c>
      <c r="DU46" s="3">
        <v>1.7869606172623554E-3</v>
      </c>
      <c r="DV46" s="3">
        <v>0.97854200000000002</v>
      </c>
      <c r="DZ46">
        <f>ABS(CX46-CX$3)/MAX($B$3:$CW$3)</f>
        <v>1.6453464726407774E-3</v>
      </c>
      <c r="EA46">
        <f t="shared" ref="EA46" si="164">ABS(CY46-CY$3)/MAX($B$3:$CW$3)</f>
        <v>1.6924472603974531E-3</v>
      </c>
      <c r="EB46">
        <f t="shared" ref="EB46" si="165">ABS(CZ46-CZ$3)/MAX($B$3:$CW$3)</f>
        <v>0.99826045195184587</v>
      </c>
      <c r="EC46">
        <f t="shared" ref="EC46" si="166">ABS(DA46-DA$3)/MAX($B$3:$CW$3)</f>
        <v>1.6070494021232052E-2</v>
      </c>
      <c r="ED46">
        <f t="shared" ref="ED46" si="167">ABS(DB46-DB$3)/MAX($B$3:$CW$3)</f>
        <v>0.89102339323347546</v>
      </c>
      <c r="EE46">
        <f t="shared" ref="EE46" si="168">ABS(DC46-DC$3)/MAX($B$3:$CW$3)</f>
        <v>0.29276200673143299</v>
      </c>
      <c r="EF46">
        <f t="shared" ref="EF46" si="169">ABS(DD46-DD$3)/MAX($B$3:$CW$3)</f>
        <v>0.48914347737224773</v>
      </c>
      <c r="EG46">
        <f t="shared" ref="EG46" si="170">ABS(DE46-DE$3)/MAX($B$3:$CW$3)</f>
        <v>0.47123923372734822</v>
      </c>
      <c r="EH46">
        <f t="shared" ref="EH46" si="171">ABS(DF46-DF$3)/MAX($B$3:$CW$3)</f>
        <v>0.20333499008244865</v>
      </c>
      <c r="EI46">
        <f t="shared" ref="EI46" si="172">ABS(DG46-DG$3)/MAX($B$3:$CW$3)</f>
        <v>0.10507360358040628</v>
      </c>
      <c r="EJ46" s="1">
        <f t="shared" ref="EJ46" si="173">SUM(DZ46:EI46)</f>
        <v>3.4702454444334756</v>
      </c>
    </row>
    <row r="47" spans="1:140" x14ac:dyDescent="0.35">
      <c r="A47" t="s">
        <v>132</v>
      </c>
      <c r="B47">
        <f>B46</f>
        <v>0.01</v>
      </c>
      <c r="C47">
        <f>$DU$3*C46 + (1-$DU$46)*(B47 + B48)</f>
        <v>0</v>
      </c>
      <c r="D47">
        <f t="shared" ref="D47:BO47" si="174">$DU$3*D46 + (1-$DU$46)*(C47 + C48)</f>
        <v>-9.9821303938273775E-3</v>
      </c>
      <c r="E47">
        <f t="shared" si="174"/>
        <v>-1.9928968200680797E-2</v>
      </c>
      <c r="F47">
        <f t="shared" si="174"/>
        <v>-2.9823183287122287E-2</v>
      </c>
      <c r="G47">
        <f t="shared" si="174"/>
        <v>-3.9647568504911558E-2</v>
      </c>
      <c r="H47">
        <f t="shared" si="174"/>
        <v>-4.9385069559931313E-2</v>
      </c>
      <c r="I47">
        <f t="shared" si="174"/>
        <v>-5.9018814560454776E-2</v>
      </c>
      <c r="J47">
        <f t="shared" si="174"/>
        <v>-6.8532143193659911E-2</v>
      </c>
      <c r="K47">
        <f t="shared" si="174"/>
        <v>-7.7908635480036098E-2</v>
      </c>
      <c r="L47">
        <f t="shared" si="174"/>
        <v>-8.7132140056157104E-2</v>
      </c>
      <c r="M47">
        <f t="shared" si="174"/>
        <v>-9.6186801937207508E-2</v>
      </c>
      <c r="N47">
        <f t="shared" si="174"/>
        <v>-0.10505708971164621</v>
      </c>
      <c r="O47">
        <f t="shared" si="174"/>
        <v>-0.11372782212146865</v>
      </c>
      <c r="P47">
        <f t="shared" si="174"/>
        <v>-0.12218419398268718</v>
      </c>
      <c r="Q47">
        <f t="shared" si="174"/>
        <v>-0.13041180140188341</v>
      </c>
      <c r="R47">
        <f t="shared" si="174"/>
        <v>-0.13839666624599653</v>
      </c>
      <c r="S47">
        <f t="shared" si="174"/>
        <v>-0.14612525982389366</v>
      </c>
      <c r="T47">
        <f t="shared" si="174"/>
        <v>-0.15358452573972076</v>
      </c>
      <c r="U47">
        <f t="shared" si="174"/>
        <v>-0.16076190187955258</v>
      </c>
      <c r="V47">
        <f t="shared" si="174"/>
        <v>-0.16764534149444385</v>
      </c>
      <c r="W47">
        <f t="shared" si="174"/>
        <v>-0.1742233333446305</v>
      </c>
      <c r="X47">
        <f t="shared" si="174"/>
        <v>-0.18048492087133414</v>
      </c>
      <c r="Y47">
        <f t="shared" si="174"/>
        <v>-0.18641972036438306</v>
      </c>
      <c r="Z47">
        <f t="shared" si="174"/>
        <v>-0.1920179380956763</v>
      </c>
      <c r="AA47">
        <f t="shared" si="174"/>
        <v>-0.19727038639037872</v>
      </c>
      <c r="AB47">
        <f t="shared" si="174"/>
        <v>-0.20216849860964309</v>
      </c>
      <c r="AC47">
        <f t="shared" si="174"/>
        <v>-0.20670434302060506</v>
      </c>
      <c r="AD47">
        <f t="shared" si="174"/>
        <v>-0.21087063553138632</v>
      </c>
      <c r="AE47">
        <f t="shared" si="174"/>
        <v>-0.21466075127086545</v>
      </c>
      <c r="AF47">
        <f t="shared" si="174"/>
        <v>-0.21806873499503207</v>
      </c>
      <c r="AG47">
        <f t="shared" si="174"/>
        <v>-0.22108931030382464</v>
      </c>
      <c r="AH47">
        <f t="shared" si="174"/>
        <v>-0.22371788765446074</v>
      </c>
      <c r="AI47">
        <f t="shared" si="174"/>
        <v>-0.22595057115939809</v>
      </c>
      <c r="AJ47">
        <f t="shared" si="174"/>
        <v>-0.22778416415921146</v>
      </c>
      <c r="AK47">
        <f t="shared" si="174"/>
        <v>-0.22921617356282931</v>
      </c>
      <c r="AL47">
        <f t="shared" si="174"/>
        <v>-0.23024481294974386</v>
      </c>
      <c r="AM47">
        <f t="shared" si="174"/>
        <v>-0.23086900443098216</v>
      </c>
      <c r="AN47">
        <f t="shared" si="174"/>
        <v>-0.23108837926780201</v>
      </c>
      <c r="AO47">
        <f t="shared" si="174"/>
        <v>-0.230903277249251</v>
      </c>
      <c r="AP47">
        <f t="shared" si="174"/>
        <v>-0.23031474483189454</v>
      </c>
      <c r="AQ47">
        <f t="shared" si="174"/>
        <v>-0.22932453204717823</v>
      </c>
      <c r="AR47">
        <f t="shared" si="174"/>
        <v>-0.22793508818403421</v>
      </c>
      <c r="AS47">
        <f t="shared" si="174"/>
        <v>-0.22614955625646971</v>
      </c>
      <c r="AT47">
        <f t="shared" si="174"/>
        <v>-0.22397176626798301</v>
      </c>
      <c r="AU47">
        <f t="shared" si="174"/>
        <v>-0.2214062272867349</v>
      </c>
      <c r="AV47">
        <f t="shared" si="174"/>
        <v>-0.21845811834745796</v>
      </c>
      <c r="AW47">
        <f t="shared" si="174"/>
        <v>-0.21513327819810968</v>
      </c>
      <c r="AX47">
        <f t="shared" si="174"/>
        <v>-0.21143819391126265</v>
      </c>
      <c r="AY47">
        <f t="shared" si="174"/>
        <v>-0.20737998838217503</v>
      </c>
      <c r="AZ47">
        <f t="shared" si="174"/>
        <v>-0.20296640673739177</v>
      </c>
      <c r="BA47">
        <f t="shared" si="174"/>
        <v>-0.1982058016795894</v>
      </c>
      <c r="BB47">
        <f t="shared" si="174"/>
        <v>-0.1931071177961918</v>
      </c>
      <c r="BC47">
        <f t="shared" si="174"/>
        <v>-0.18767987486104656</v>
      </c>
      <c r="BD47">
        <f t="shared" si="174"/>
        <v>-0.1819341501601606</v>
      </c>
      <c r="BE47">
        <f t="shared" si="174"/>
        <v>-0.175880559874144</v>
      </c>
      <c r="BF47">
        <f t="shared" si="174"/>
        <v>-0.16953023955160329</v>
      </c>
      <c r="BG47">
        <f t="shared" si="174"/>
        <v>-0.16289482370925257</v>
      </c>
      <c r="BH47">
        <f t="shared" si="174"/>
        <v>-0.15598642459597487</v>
      </c>
      <c r="BI47">
        <f t="shared" si="174"/>
        <v>-0.14881761015946124</v>
      </c>
      <c r="BJ47">
        <f t="shared" si="174"/>
        <v>-0.14140138125538027</v>
      </c>
      <c r="BK47">
        <f t="shared" si="174"/>
        <v>-0.13375114814028413</v>
      </c>
      <c r="BL47">
        <f t="shared" si="174"/>
        <v>-0.12588070629063597</v>
      </c>
      <c r="BM47">
        <f t="shared" si="174"/>
        <v>-0.11780421159144594</v>
      </c>
      <c r="BN47">
        <f t="shared" si="174"/>
        <v>-0.10953615493902812</v>
      </c>
      <c r="BO47">
        <f t="shared" si="174"/>
        <v>-0.10109133630333508</v>
      </c>
      <c r="BP47">
        <f t="shared" ref="BP47:CW47" si="175">$DU$3*BP46 + (1-$DU$46)*(BO47 + BO48)</f>
        <v>-9.2484838296191016E-2</v>
      </c>
      <c r="BQ47">
        <f t="shared" si="175"/>
        <v>-8.37319992925252E-2</v>
      </c>
      <c r="BR47">
        <f t="shared" si="175"/>
        <v>-7.4848386152405327E-2</v>
      </c>
      <c r="BS47">
        <f t="shared" si="175"/>
        <v>-6.5849766592282769E-2</v>
      </c>
      <c r="BT47">
        <f t="shared" si="175"/>
        <v>-5.6752081254388548E-2</v>
      </c>
      <c r="BU47">
        <f t="shared" si="175"/>
        <v>-4.7571415523659497E-2</v>
      </c>
      <c r="BV47">
        <f t="shared" si="175"/>
        <v>-3.8323971141927003E-2</v>
      </c>
      <c r="BW47">
        <f t="shared" si="175"/>
        <v>-2.9026037669366574E-2</v>
      </c>
      <c r="BX47">
        <f t="shared" si="175"/>
        <v>-1.9693963843384076E-2</v>
      </c>
      <c r="BY47">
        <f t="shared" si="175"/>
        <v>-1.0344128885204288E-2</v>
      </c>
      <c r="BZ47">
        <f t="shared" si="175"/>
        <v>-9.9291380442894533E-4</v>
      </c>
      <c r="CA47">
        <f t="shared" si="175"/>
        <v>8.3433272482547702E-3</v>
      </c>
      <c r="CB47">
        <f t="shared" si="175"/>
        <v>1.7648295530208233E-2</v>
      </c>
      <c r="CC47">
        <f t="shared" si="175"/>
        <v>2.6905776108071797E-2</v>
      </c>
      <c r="CD47">
        <f t="shared" si="175"/>
        <v>3.6099666061693091E-2</v>
      </c>
      <c r="CE47">
        <f t="shared" si="175"/>
        <v>4.5214002441787922E-2</v>
      </c>
      <c r="CF47">
        <f t="shared" si="175"/>
        <v>5.4232989932886631E-2</v>
      </c>
      <c r="CG47">
        <f t="shared" si="175"/>
        <v>6.3141028173720665E-2</v>
      </c>
      <c r="CH47">
        <f t="shared" si="175"/>
        <v>7.1922738687888704E-2</v>
      </c>
      <c r="CI47">
        <f t="shared" si="175"/>
        <v>8.056299137840725E-2</v>
      </c>
      <c r="CJ47">
        <f t="shared" si="175"/>
        <v>8.9046930540596328E-2</v>
      </c>
      <c r="CK47">
        <f t="shared" si="175"/>
        <v>9.7360000348674383E-2</v>
      </c>
      <c r="CL47">
        <f t="shared" si="175"/>
        <v>0.10548796977243656</v>
      </c>
      <c r="CM47">
        <f t="shared" si="175"/>
        <v>0.11341695688146519</v>
      </c>
      <c r="CN47">
        <f t="shared" si="175"/>
        <v>0.12113345249546806</v>
      </c>
      <c r="CO47">
        <f t="shared" si="175"/>
        <v>0.12862434314055765</v>
      </c>
      <c r="CP47">
        <f t="shared" si="175"/>
        <v>0.13587693327256983</v>
      </c>
      <c r="CQ47">
        <f t="shared" si="175"/>
        <v>0.14287896672987177</v>
      </c>
      <c r="CR47">
        <f t="shared" si="175"/>
        <v>0.14961864737952318</v>
      </c>
      <c r="CS47">
        <f t="shared" si="175"/>
        <v>0.15608465892213022</v>
      </c>
      <c r="CT47">
        <f t="shared" si="175"/>
        <v>0.1622661838222641</v>
      </c>
      <c r="CU47">
        <f t="shared" si="175"/>
        <v>0.16815292133290527</v>
      </c>
      <c r="CV47">
        <f t="shared" si="175"/>
        <v>0.17373510458401417</v>
      </c>
      <c r="CW47">
        <f t="shared" si="175"/>
        <v>0.17900351670701936</v>
      </c>
      <c r="CX47" s="2">
        <v>1</v>
      </c>
      <c r="CY47">
        <v>2</v>
      </c>
      <c r="CZ47">
        <v>3</v>
      </c>
      <c r="DA47">
        <v>4</v>
      </c>
      <c r="DB47">
        <v>5</v>
      </c>
      <c r="DC47">
        <v>6</v>
      </c>
      <c r="DD47">
        <v>7</v>
      </c>
      <c r="DE47">
        <v>8</v>
      </c>
      <c r="DF47">
        <v>9</v>
      </c>
      <c r="DG47">
        <v>10</v>
      </c>
      <c r="DS47" s="1"/>
      <c r="DU47" s="3"/>
      <c r="DV47" s="3"/>
      <c r="EJ47" s="1"/>
    </row>
    <row r="48" spans="1:140" x14ac:dyDescent="0.35">
      <c r="A48" t="s">
        <v>133</v>
      </c>
      <c r="B48">
        <f>C46 - B46</f>
        <v>-0.01</v>
      </c>
      <c r="C48">
        <f>$DV$46*(C47 - B47) + (1-$DV$46)*B48</f>
        <v>-0.01</v>
      </c>
      <c r="D48">
        <f t="shared" ref="D48:BO48" si="176">$DV$46*(D47 - C47) + (1-$DV$46)*C48</f>
        <v>-9.9825138398366292E-3</v>
      </c>
      <c r="E48">
        <f t="shared" si="176"/>
        <v>-9.9476033431691729E-3</v>
      </c>
      <c r="F48">
        <f t="shared" si="176"/>
        <v>-9.8953606916543542E-3</v>
      </c>
      <c r="G48">
        <f t="shared" si="176"/>
        <v>-9.8259082095074682E-3</v>
      </c>
      <c r="H48">
        <f t="shared" si="176"/>
        <v>-9.7393980957407519E-3</v>
      </c>
      <c r="I48">
        <f t="shared" si="176"/>
        <v>-9.6360121046406358E-3</v>
      </c>
      <c r="J48">
        <f t="shared" si="176"/>
        <v>-9.5159611751351996E-3</v>
      </c>
      <c r="K48">
        <f t="shared" si="176"/>
        <v>-9.3794850097911782E-3</v>
      </c>
      <c r="L48">
        <f t="shared" si="176"/>
        <v>-9.2268516042667004E-3</v>
      </c>
      <c r="M48">
        <f t="shared" si="176"/>
        <v>-9.0583567281311804E-3</v>
      </c>
      <c r="N48">
        <f t="shared" si="176"/>
        <v>-8.8743233580470312E-3</v>
      </c>
      <c r="O48">
        <f t="shared" si="176"/>
        <v>-8.6751010643894427E-3</v>
      </c>
      <c r="P48">
        <f t="shared" si="176"/>
        <v>-8.4610653524601724E-3</v>
      </c>
      <c r="Q48">
        <f t="shared" si="176"/>
        <v>-8.2326169595282085E-3</v>
      </c>
      <c r="R48">
        <f t="shared" si="176"/>
        <v>-7.9901811090056975E-3</v>
      </c>
      <c r="S48">
        <f t="shared" si="176"/>
        <v>-7.7342067231396519E-3</v>
      </c>
      <c r="T48">
        <f t="shared" si="176"/>
        <v>-7.4651655956704142E-3</v>
      </c>
      <c r="U48">
        <f t="shared" si="176"/>
        <v>-7.1835515259752103E-3</v>
      </c>
      <c r="V48">
        <f t="shared" si="176"/>
        <v>-6.8898794162793077E-3</v>
      </c>
      <c r="W48">
        <f t="shared" si="176"/>
        <v>-6.5846843335798646E-3</v>
      </c>
      <c r="X48">
        <f t="shared" si="176"/>
        <v>-6.268520537985588E-3</v>
      </c>
      <c r="Y48">
        <f t="shared" si="176"/>
        <v>-5.9419604792311769E-3</v>
      </c>
      <c r="Z48">
        <f t="shared" si="176"/>
        <v>-5.6055937631784899E-3</v>
      </c>
      <c r="AA48">
        <f t="shared" si="176"/>
        <v>-5.2600260901649815E-3</v>
      </c>
      <c r="AB48">
        <f t="shared" si="176"/>
        <v>-4.9058781671061525E-3</v>
      </c>
      <c r="AC48">
        <f t="shared" si="176"/>
        <v>-4.5437845953013121E-3</v>
      </c>
      <c r="AD48">
        <f t="shared" si="176"/>
        <v>-4.1743927359308977E-3</v>
      </c>
      <c r="AE48">
        <f t="shared" si="176"/>
        <v>-3.7983615552689893E-3</v>
      </c>
      <c r="AF48">
        <f t="shared" si="176"/>
        <v>-3.4163604516664137E-3</v>
      </c>
      <c r="AG48">
        <f t="shared" si="176"/>
        <v>-3.029068066388359E-3</v>
      </c>
      <c r="AH48">
        <f t="shared" si="176"/>
        <v>-2.6371710804147085E-3</v>
      </c>
      <c r="AI48">
        <f t="shared" si="176"/>
        <v>-2.2413629993319481E-3</v>
      </c>
      <c r="AJ48">
        <f t="shared" si="176"/>
        <v>-1.8423429284630359E-3</v>
      </c>
      <c r="AK48">
        <f t="shared" si="176"/>
        <v>-1.4408143403939735E-3</v>
      </c>
      <c r="AL48">
        <f t="shared" si="176"/>
        <v>-1.0374838370663152E-3</v>
      </c>
      <c r="AM48">
        <f t="shared" si="176"/>
        <v>-6.3305990860965306E-4</v>
      </c>
      <c r="AN48">
        <f t="shared" si="176"/>
        <v>-2.2825169109032324E-4</v>
      </c>
      <c r="AO48">
        <f t="shared" si="176"/>
        <v>1.7623227464953057E-4</v>
      </c>
      <c r="AP48">
        <f t="shared" si="176"/>
        <v>5.7968528089425244E-4</v>
      </c>
      <c r="AQ48">
        <f t="shared" si="176"/>
        <v>9.8140368553929639E-4</v>
      </c>
      <c r="AR48">
        <f t="shared" si="176"/>
        <v>1.3806881370129766E-3</v>
      </c>
      <c r="AS48">
        <f t="shared" si="176"/>
        <v>1.7768447895068495E-3</v>
      </c>
      <c r="AT48">
        <f t="shared" si="176"/>
        <v>2.1691865064069854E-3</v>
      </c>
      <c r="AU48">
        <f t="shared" si="176"/>
        <v>2.5570340498429758E-3</v>
      </c>
      <c r="AV48">
        <f t="shared" si="176"/>
        <v>2.9397172542994648E-3</v>
      </c>
      <c r="AW48">
        <f t="shared" si="176"/>
        <v>3.3165761822663217E-3</v>
      </c>
      <c r="AX48">
        <f t="shared" si="176"/>
        <v>3.6869622599389408E-3</v>
      </c>
      <c r="AY48">
        <f t="shared" si="176"/>
        <v>4.0502393910182245E-3</v>
      </c>
      <c r="AZ48">
        <f t="shared" si="176"/>
        <v>4.4057850467019641E-3</v>
      </c>
      <c r="BA48">
        <f t="shared" si="176"/>
        <v>4.7529913300041826E-3</v>
      </c>
      <c r="BB48">
        <f t="shared" si="176"/>
        <v>5.0912660125868817E-3</v>
      </c>
      <c r="BC48">
        <f t="shared" si="176"/>
        <v>5.4200335423409806E-3</v>
      </c>
      <c r="BD48">
        <f t="shared" si="176"/>
        <v>5.7387360200059096E-3</v>
      </c>
      <c r="BE48">
        <f t="shared" si="176"/>
        <v>6.0468341431765393E-3</v>
      </c>
      <c r="BF48">
        <f t="shared" si="176"/>
        <v>6.3438081161039123E-3</v>
      </c>
      <c r="BG48">
        <f t="shared" si="176"/>
        <v>6.6291585237609188E-3</v>
      </c>
      <c r="BH48">
        <f t="shared" si="176"/>
        <v>6.9024071687078517E-3</v>
      </c>
      <c r="BI48">
        <f t="shared" si="176"/>
        <v>7.1630978693610495E-3</v>
      </c>
      <c r="BJ48">
        <f t="shared" si="176"/>
        <v>7.410797218337953E-3</v>
      </c>
      <c r="BK48">
        <f t="shared" si="176"/>
        <v>7.6450952996234963E-3</v>
      </c>
      <c r="BL48">
        <f t="shared" si="176"/>
        <v>7.8656063633777348E-3</v>
      </c>
      <c r="BM48">
        <f t="shared" si="176"/>
        <v>8.0719694572801686E-3</v>
      </c>
      <c r="BN48">
        <f t="shared" si="176"/>
        <v>8.2638490133845593E-3</v>
      </c>
      <c r="BO48">
        <f t="shared" si="176"/>
        <v>8.4409353895375377E-3</v>
      </c>
      <c r="BP48">
        <f t="shared" ref="BP48:CW48" si="177">$DV$46*(BP47 - BO47) + (1-$DV$46)*BO48</f>
        <v>8.6029453644954658E-3</v>
      </c>
      <c r="BQ48">
        <f t="shared" si="177"/>
        <v>8.7496225859564989E-3</v>
      </c>
      <c r="BR48">
        <f t="shared" si="177"/>
        <v>8.8807379708086345E-3</v>
      </c>
      <c r="BS48">
        <f t="shared" si="177"/>
        <v>8.9960900569790603E-3</v>
      </c>
      <c r="BT48">
        <f t="shared" si="177"/>
        <v>9.0955053063563433E-3</v>
      </c>
      <c r="BU48">
        <f t="shared" si="177"/>
        <v>9.1788383583428623E-3</v>
      </c>
      <c r="BV48">
        <f t="shared" si="177"/>
        <v>9.2459722336825992E-3</v>
      </c>
      <c r="BW48">
        <f t="shared" si="177"/>
        <v>9.296818488296589E-3</v>
      </c>
      <c r="BX48">
        <f t="shared" si="177"/>
        <v>9.3313173169464331E-3</v>
      </c>
      <c r="BY48">
        <f t="shared" si="177"/>
        <v>9.3494376066342033E-3</v>
      </c>
      <c r="BZ48">
        <f t="shared" si="177"/>
        <v>9.3511769397352229E-3</v>
      </c>
      <c r="CA48">
        <f t="shared" si="177"/>
        <v>9.3365615469480669E-3</v>
      </c>
      <c r="CB48">
        <f t="shared" si="177"/>
        <v>9.3056462102337166E-3</v>
      </c>
      <c r="CC48">
        <f t="shared" si="177"/>
        <v>9.2585141160029631E-3</v>
      </c>
      <c r="CD48">
        <f t="shared" si="177"/>
        <v>9.19527665889768E-3</v>
      </c>
      <c r="CE48">
        <f t="shared" si="177"/>
        <v>9.116073196597383E-3</v>
      </c>
      <c r="CF48">
        <f t="shared" si="177"/>
        <v>9.0210707561672997E-3</v>
      </c>
      <c r="CG48">
        <f t="shared" si="177"/>
        <v>8.910463692548054E-3</v>
      </c>
      <c r="CH48">
        <f t="shared" si="177"/>
        <v>8.7844732998697168E-3</v>
      </c>
      <c r="CI48">
        <f t="shared" si="177"/>
        <v>8.6433473763540044E-3</v>
      </c>
      <c r="CJ48">
        <f t="shared" si="177"/>
        <v>8.4873597436486269E-3</v>
      </c>
      <c r="CK48">
        <f t="shared" si="177"/>
        <v>8.3168097215155275E-3</v>
      </c>
      <c r="CL48">
        <f t="shared" si="177"/>
        <v>8.1320215588713673E-3</v>
      </c>
      <c r="CM48">
        <f t="shared" si="177"/>
        <v>7.9333438222533581E-3</v>
      </c>
      <c r="CN48">
        <f t="shared" si="177"/>
        <v>7.7211487428555051E-3</v>
      </c>
      <c r="CO48">
        <f t="shared" si="177"/>
        <v>7.4958315233514539E-3</v>
      </c>
      <c r="CP48">
        <f t="shared" si="177"/>
        <v>7.2578096057875404E-3</v>
      </c>
      <c r="CQ48">
        <f t="shared" si="177"/>
        <v>7.0075219018961412E-3</v>
      </c>
      <c r="CR48">
        <f t="shared" si="177"/>
        <v>6.7454279872420806E-3</v>
      </c>
      <c r="CS48">
        <f t="shared" si="177"/>
        <v>6.4720072606760147E-3</v>
      </c>
      <c r="CT48">
        <f t="shared" si="177"/>
        <v>6.1877580706263908E-3</v>
      </c>
      <c r="CU48">
        <f t="shared" si="177"/>
        <v>5.8931968098173337E-3</v>
      </c>
      <c r="CV48">
        <f t="shared" si="177"/>
        <v>5.588856980051668E-3</v>
      </c>
      <c r="CW48">
        <f t="shared" si="177"/>
        <v>5.2752882287476922E-3</v>
      </c>
      <c r="DS48" s="1"/>
      <c r="DU48" s="3"/>
      <c r="DV48" s="3"/>
      <c r="EJ48" s="1"/>
    </row>
    <row r="49" spans="1:140" x14ac:dyDescent="0.35">
      <c r="A49" t="s">
        <v>113</v>
      </c>
      <c r="B49">
        <v>916</v>
      </c>
      <c r="C49">
        <v>939</v>
      </c>
      <c r="D49">
        <v>305</v>
      </c>
      <c r="E49">
        <v>952</v>
      </c>
      <c r="F49">
        <v>128</v>
      </c>
      <c r="G49">
        <v>81</v>
      </c>
      <c r="H49">
        <v>908</v>
      </c>
      <c r="I49">
        <v>744</v>
      </c>
      <c r="J49">
        <v>333</v>
      </c>
      <c r="K49">
        <v>862</v>
      </c>
      <c r="L49">
        <v>606</v>
      </c>
      <c r="M49">
        <v>352</v>
      </c>
      <c r="N49">
        <v>233</v>
      </c>
      <c r="O49">
        <v>502</v>
      </c>
      <c r="P49">
        <v>693</v>
      </c>
      <c r="Q49">
        <v>828</v>
      </c>
      <c r="R49">
        <v>189</v>
      </c>
      <c r="S49">
        <v>89</v>
      </c>
      <c r="T49">
        <v>705</v>
      </c>
      <c r="U49">
        <v>486</v>
      </c>
      <c r="V49">
        <v>142</v>
      </c>
      <c r="W49">
        <v>575</v>
      </c>
      <c r="X49">
        <v>972</v>
      </c>
      <c r="Y49">
        <v>222</v>
      </c>
      <c r="Z49">
        <v>593</v>
      </c>
      <c r="AA49">
        <v>259</v>
      </c>
      <c r="AB49">
        <v>492</v>
      </c>
      <c r="AC49">
        <v>227</v>
      </c>
      <c r="AD49">
        <v>195</v>
      </c>
      <c r="AE49">
        <v>374</v>
      </c>
      <c r="AF49">
        <v>539</v>
      </c>
      <c r="AG49">
        <v>2</v>
      </c>
      <c r="AH49">
        <v>865</v>
      </c>
      <c r="AI49">
        <v>308</v>
      </c>
      <c r="AJ49">
        <v>118</v>
      </c>
      <c r="AK49">
        <v>126</v>
      </c>
      <c r="AL49">
        <v>881</v>
      </c>
      <c r="AM49">
        <v>126</v>
      </c>
      <c r="AN49">
        <v>645</v>
      </c>
      <c r="AO49">
        <v>868</v>
      </c>
      <c r="AP49">
        <v>943</v>
      </c>
      <c r="AQ49">
        <v>483</v>
      </c>
      <c r="AR49">
        <v>701</v>
      </c>
      <c r="AS49">
        <v>190</v>
      </c>
      <c r="AT49">
        <v>251</v>
      </c>
      <c r="AU49">
        <v>872</v>
      </c>
      <c r="AV49">
        <v>905</v>
      </c>
      <c r="AW49">
        <v>632</v>
      </c>
      <c r="AX49">
        <v>842</v>
      </c>
      <c r="AY49">
        <v>42</v>
      </c>
      <c r="AZ49">
        <v>517</v>
      </c>
      <c r="BA49">
        <v>950</v>
      </c>
      <c r="BB49">
        <v>891</v>
      </c>
      <c r="BC49">
        <v>536</v>
      </c>
      <c r="BD49">
        <v>462</v>
      </c>
      <c r="BE49">
        <v>916</v>
      </c>
      <c r="BF49">
        <v>939</v>
      </c>
      <c r="BG49">
        <v>305</v>
      </c>
      <c r="BH49">
        <v>952</v>
      </c>
      <c r="BI49">
        <v>128</v>
      </c>
      <c r="BJ49">
        <v>81</v>
      </c>
      <c r="BK49">
        <v>908</v>
      </c>
      <c r="BL49">
        <v>744</v>
      </c>
      <c r="BM49">
        <v>333</v>
      </c>
      <c r="BN49">
        <v>862</v>
      </c>
      <c r="BO49">
        <v>606</v>
      </c>
      <c r="BP49">
        <v>352</v>
      </c>
      <c r="BQ49">
        <v>233</v>
      </c>
      <c r="BR49">
        <v>502</v>
      </c>
      <c r="BS49">
        <v>693</v>
      </c>
      <c r="BT49">
        <v>828</v>
      </c>
      <c r="BU49">
        <v>189</v>
      </c>
      <c r="BV49">
        <v>89</v>
      </c>
      <c r="BW49">
        <v>705</v>
      </c>
      <c r="BX49">
        <v>486</v>
      </c>
      <c r="BY49">
        <v>142</v>
      </c>
      <c r="BZ49">
        <v>575</v>
      </c>
      <c r="CA49">
        <v>972</v>
      </c>
      <c r="CB49">
        <v>222</v>
      </c>
      <c r="CC49">
        <v>593</v>
      </c>
      <c r="CD49">
        <v>259</v>
      </c>
      <c r="CE49">
        <v>492</v>
      </c>
      <c r="CF49">
        <v>227</v>
      </c>
      <c r="CG49">
        <v>195</v>
      </c>
      <c r="CH49">
        <v>374</v>
      </c>
      <c r="CI49">
        <v>539</v>
      </c>
      <c r="CJ49">
        <v>2</v>
      </c>
      <c r="CK49">
        <v>865</v>
      </c>
      <c r="CL49">
        <v>308</v>
      </c>
      <c r="CM49">
        <v>118</v>
      </c>
      <c r="CN49">
        <v>126</v>
      </c>
      <c r="CO49">
        <v>881</v>
      </c>
      <c r="CP49">
        <v>126</v>
      </c>
      <c r="CQ49">
        <v>645</v>
      </c>
      <c r="CR49">
        <v>868</v>
      </c>
      <c r="CS49">
        <v>943</v>
      </c>
      <c r="CT49">
        <v>483</v>
      </c>
      <c r="CU49">
        <v>701</v>
      </c>
      <c r="CV49">
        <v>190</v>
      </c>
      <c r="CW49">
        <v>251</v>
      </c>
      <c r="CX49" s="2">
        <f>$CW50 + CX50*$CW51</f>
        <v>771.04476379791572</v>
      </c>
      <c r="CY49">
        <f t="shared" ref="CY49:DG49" si="178">$CW50 + CY50*$CW51</f>
        <v>741.66417271946307</v>
      </c>
      <c r="CZ49">
        <f t="shared" si="178"/>
        <v>712.2835816410103</v>
      </c>
      <c r="DA49">
        <f t="shared" si="178"/>
        <v>682.90299056255765</v>
      </c>
      <c r="DB49">
        <f t="shared" si="178"/>
        <v>653.52239948410499</v>
      </c>
      <c r="DC49">
        <f t="shared" si="178"/>
        <v>624.14180840565223</v>
      </c>
      <c r="DD49">
        <f t="shared" si="178"/>
        <v>594.76121732719957</v>
      </c>
      <c r="DE49">
        <f t="shared" si="178"/>
        <v>565.38062624874692</v>
      </c>
      <c r="DF49">
        <f t="shared" si="178"/>
        <v>536.00003517029427</v>
      </c>
      <c r="DG49">
        <f t="shared" si="178"/>
        <v>506.61944409184156</v>
      </c>
      <c r="DI49">
        <f t="shared" ref="DI49:DR49" si="179">ABS(CX49-CX4)</f>
        <v>100.95523620208428</v>
      </c>
      <c r="DJ49">
        <f t="shared" si="179"/>
        <v>163.33582728053693</v>
      </c>
      <c r="DK49">
        <f t="shared" si="179"/>
        <v>80.283581641010301</v>
      </c>
      <c r="DL49">
        <f t="shared" si="179"/>
        <v>159.09700943744235</v>
      </c>
      <c r="DM49">
        <f t="shared" si="179"/>
        <v>611.52239948410499</v>
      </c>
      <c r="DN49">
        <f t="shared" si="179"/>
        <v>107.14180840565223</v>
      </c>
      <c r="DO49">
        <f t="shared" si="179"/>
        <v>355.23878267280043</v>
      </c>
      <c r="DP49">
        <f t="shared" si="179"/>
        <v>325.61937375125308</v>
      </c>
      <c r="DQ49">
        <f t="shared" si="179"/>
        <v>3.5170294268027646E-5</v>
      </c>
      <c r="DR49">
        <f t="shared" si="179"/>
        <v>44.619444091841558</v>
      </c>
      <c r="DS49" s="1">
        <f t="shared" si="36"/>
        <v>1947.8134981370204</v>
      </c>
      <c r="DU49" s="3">
        <v>9.9346029035341898E-2</v>
      </c>
      <c r="DV49" s="3">
        <v>0.99998297309924811</v>
      </c>
      <c r="DZ49">
        <f>ABS(CX49-CX$4)/MAX($B$4:$CW$4)</f>
        <v>0.10386341173053938</v>
      </c>
      <c r="EA49">
        <f t="shared" ref="EA49" si="180">ABS(CY49-CY$4)/MAX($B$4:$CW$4)</f>
        <v>0.16804097456845363</v>
      </c>
      <c r="EB49">
        <f t="shared" ref="EB49" si="181">ABS(CZ49-CZ$4)/MAX($B$4:$CW$4)</f>
        <v>8.2596277408446814E-2</v>
      </c>
      <c r="EC49">
        <f t="shared" ref="EC49" si="182">ABS(DA49-DA$4)/MAX($B$4:$CW$4)</f>
        <v>0.1636800508615662</v>
      </c>
      <c r="ED49">
        <f t="shared" ref="ED49" si="183">ABS(DB49-DB$4)/MAX($B$4:$CW$4)</f>
        <v>0.62913827107418208</v>
      </c>
      <c r="EE49">
        <f t="shared" ref="EE49" si="184">ABS(DC49-DC$4)/MAX($B$4:$CW$4)</f>
        <v>0.11022819794820188</v>
      </c>
      <c r="EF49">
        <f t="shared" ref="EF49" si="185">ABS(DD49-DD$4)/MAX($B$4:$CW$4)</f>
        <v>0.36547199863456836</v>
      </c>
      <c r="EG49">
        <f t="shared" ref="EG49" si="186">ABS(DE49-DE$4)/MAX($B$4:$CW$4)</f>
        <v>0.33499935571116574</v>
      </c>
      <c r="EH49">
        <f t="shared" ref="EH49" si="187">ABS(DF49-DF$4)/MAX($B$4:$CW$4)</f>
        <v>3.6183430316900872E-8</v>
      </c>
      <c r="EI49">
        <f t="shared" ref="EI49" si="188">ABS(DG49-DG$4)/MAX($B$4:$CW$4)</f>
        <v>4.5904777872264976E-2</v>
      </c>
      <c r="EJ49" s="1">
        <f t="shared" ref="EJ49" si="189">SUM(DZ49:EI49)</f>
        <v>2.0039233519928192</v>
      </c>
    </row>
    <row r="50" spans="1:140" x14ac:dyDescent="0.35">
      <c r="A50" t="s">
        <v>134</v>
      </c>
      <c r="B50">
        <f>B49</f>
        <v>916</v>
      </c>
      <c r="C50">
        <f>$DU$49*C49 + (1-$DU$49)*(B50 + B51)</f>
        <v>939.00000000000011</v>
      </c>
      <c r="D50">
        <f t="shared" ref="D50:BO50" si="190">$DU$49*D49 + (1-$DU$49)*(C50 + C51)</f>
        <v>896.72965892378056</v>
      </c>
      <c r="E50">
        <f t="shared" si="190"/>
        <v>864.15059823205365</v>
      </c>
      <c r="F50">
        <f t="shared" si="190"/>
        <v>761.67435054131261</v>
      </c>
      <c r="G50">
        <f t="shared" si="190"/>
        <v>601.75748923160018</v>
      </c>
      <c r="H50">
        <f t="shared" si="190"/>
        <v>488.15259132537909</v>
      </c>
      <c r="I50">
        <f t="shared" si="190"/>
        <v>411.25060280093885</v>
      </c>
      <c r="J50">
        <f t="shared" si="190"/>
        <v>334.21407193952933</v>
      </c>
      <c r="K50">
        <f t="shared" si="190"/>
        <v>317.2642526970692</v>
      </c>
      <c r="L50">
        <f t="shared" si="190"/>
        <v>330.68215917384816</v>
      </c>
      <c r="M50">
        <f t="shared" si="190"/>
        <v>344.88442704261342</v>
      </c>
      <c r="N50">
        <f t="shared" si="190"/>
        <v>346.5604704213597</v>
      </c>
      <c r="O50">
        <f t="shared" si="190"/>
        <v>363.51249765847496</v>
      </c>
      <c r="P50">
        <f t="shared" si="190"/>
        <v>411.51344902066353</v>
      </c>
      <c r="Q50">
        <f t="shared" si="190"/>
        <v>496.12150531154651</v>
      </c>
      <c r="R50">
        <f t="shared" si="190"/>
        <v>541.81222381075361</v>
      </c>
      <c r="S50">
        <f t="shared" si="190"/>
        <v>537.97925133030503</v>
      </c>
      <c r="T50">
        <f t="shared" si="190"/>
        <v>551.12067706512175</v>
      </c>
      <c r="U50">
        <f t="shared" si="190"/>
        <v>556.48681336747438</v>
      </c>
      <c r="V50">
        <f t="shared" si="190"/>
        <v>520.14234557367433</v>
      </c>
      <c r="W50">
        <f t="shared" si="190"/>
        <v>492.8590861106062</v>
      </c>
      <c r="X50">
        <f t="shared" si="190"/>
        <v>515.88691833173914</v>
      </c>
      <c r="Y50">
        <f t="shared" si="190"/>
        <v>507.42975700236519</v>
      </c>
      <c r="Z50">
        <f t="shared" si="190"/>
        <v>508.31432773350599</v>
      </c>
      <c r="AA50">
        <f t="shared" si="190"/>
        <v>484.34248818269708</v>
      </c>
      <c r="AB50">
        <f t="shared" si="190"/>
        <v>463.513280270481</v>
      </c>
      <c r="AC50">
        <f t="shared" si="190"/>
        <v>421.25666805644744</v>
      </c>
      <c r="AD50">
        <f t="shared" si="190"/>
        <v>360.72070954802251</v>
      </c>
      <c r="AE50">
        <f t="shared" si="190"/>
        <v>307.51828323175971</v>
      </c>
      <c r="AF50">
        <f t="shared" si="190"/>
        <v>282.59798360279257</v>
      </c>
      <c r="AG50">
        <f t="shared" si="190"/>
        <v>232.27668763996598</v>
      </c>
      <c r="AH50">
        <f t="shared" si="190"/>
        <v>249.813550693693</v>
      </c>
      <c r="AI50">
        <f t="shared" si="190"/>
        <v>271.38774810184373</v>
      </c>
      <c r="AJ50">
        <f t="shared" si="190"/>
        <v>275.58010905964176</v>
      </c>
      <c r="AK50">
        <f t="shared" si="190"/>
        <v>264.49605230166867</v>
      </c>
      <c r="AL50">
        <f t="shared" si="190"/>
        <v>315.76060593033037</v>
      </c>
      <c r="AM50">
        <f t="shared" si="190"/>
        <v>343.07931092568663</v>
      </c>
      <c r="AN50">
        <f t="shared" si="190"/>
        <v>397.67899980610218</v>
      </c>
      <c r="AO50">
        <f t="shared" si="190"/>
        <v>493.57853179380868</v>
      </c>
      <c r="AP50">
        <f t="shared" si="190"/>
        <v>624.59843096720931</v>
      </c>
      <c r="AQ50">
        <f t="shared" si="190"/>
        <v>728.53424300513598</v>
      </c>
      <c r="AR50">
        <f t="shared" si="190"/>
        <v>819.40944247214725</v>
      </c>
      <c r="AS50">
        <f t="shared" si="190"/>
        <v>838.72742328344168</v>
      </c>
      <c r="AT50">
        <f t="shared" si="190"/>
        <v>797.73895111187096</v>
      </c>
      <c r="AU50">
        <f t="shared" si="190"/>
        <v>768.20098604479995</v>
      </c>
      <c r="AV50">
        <f t="shared" si="190"/>
        <v>755.18776374358799</v>
      </c>
      <c r="AW50">
        <f t="shared" si="190"/>
        <v>731.22888483365261</v>
      </c>
      <c r="AX50">
        <f t="shared" si="190"/>
        <v>720.65506367826504</v>
      </c>
      <c r="AY50">
        <f t="shared" si="190"/>
        <v>643.70981874360143</v>
      </c>
      <c r="AZ50">
        <f t="shared" si="190"/>
        <v>561.82167883962211</v>
      </c>
      <c r="BA50">
        <f t="shared" si="190"/>
        <v>526.63285104341674</v>
      </c>
      <c r="BB50">
        <f t="shared" si="190"/>
        <v>531.1376067661306</v>
      </c>
      <c r="BC50">
        <f t="shared" si="190"/>
        <v>535.67728362838977</v>
      </c>
      <c r="BD50">
        <f t="shared" si="190"/>
        <v>532.44641551679626</v>
      </c>
      <c r="BE50">
        <f t="shared" si="190"/>
        <v>567.64116602708907</v>
      </c>
      <c r="BF50">
        <f t="shared" si="190"/>
        <v>636.23189406557913</v>
      </c>
      <c r="BG50">
        <f t="shared" si="190"/>
        <v>665.10132013063549</v>
      </c>
      <c r="BH50">
        <f t="shared" si="190"/>
        <v>719.6055370672824</v>
      </c>
      <c r="BI50">
        <f t="shared" si="190"/>
        <v>709.92092251462714</v>
      </c>
      <c r="BJ50">
        <f t="shared" si="190"/>
        <v>638.71862408267634</v>
      </c>
      <c r="BK50">
        <f t="shared" si="190"/>
        <v>601.34297006040254</v>
      </c>
      <c r="BL50">
        <f t="shared" si="190"/>
        <v>581.85232955909032</v>
      </c>
      <c r="BM50">
        <f t="shared" si="190"/>
        <v>539.57524175535025</v>
      </c>
      <c r="BN50">
        <f t="shared" si="190"/>
        <v>533.53018357175449</v>
      </c>
      <c r="BO50">
        <f t="shared" si="190"/>
        <v>535.28471077630036</v>
      </c>
      <c r="BP50">
        <f t="shared" ref="BP50:CW50" si="191">$DU$49*BP49 + (1-$DU$49)*(BO50 + BO51)</f>
        <v>518.65620485292425</v>
      </c>
      <c r="BQ50">
        <f t="shared" si="191"/>
        <v>475.30114724851472</v>
      </c>
      <c r="BR50">
        <f t="shared" si="191"/>
        <v>438.90607732207263</v>
      </c>
      <c r="BS50">
        <f t="shared" si="191"/>
        <v>431.36982856251257</v>
      </c>
      <c r="BT50">
        <f t="shared" si="191"/>
        <v>463.98546615714014</v>
      </c>
      <c r="BU50">
        <f t="shared" si="191"/>
        <v>466.0415398165452</v>
      </c>
      <c r="BV50">
        <f t="shared" si="191"/>
        <v>430.43623959133504</v>
      </c>
      <c r="BW50">
        <f t="shared" si="191"/>
        <v>425.64558142789281</v>
      </c>
      <c r="BX50">
        <f t="shared" si="191"/>
        <v>427.32635540597317</v>
      </c>
      <c r="BY50">
        <f t="shared" si="191"/>
        <v>400.49401152521978</v>
      </c>
      <c r="BZ50">
        <f t="shared" si="191"/>
        <v>393.66426871341815</v>
      </c>
      <c r="CA50">
        <f t="shared" si="191"/>
        <v>444.96808534251545</v>
      </c>
      <c r="CB50">
        <f t="shared" si="191"/>
        <v>469.02318613130444</v>
      </c>
      <c r="CC50">
        <f t="shared" si="191"/>
        <v>503.00553018229078</v>
      </c>
      <c r="CD50">
        <f t="shared" si="191"/>
        <v>509.37073057763178</v>
      </c>
      <c r="CE50">
        <f t="shared" si="191"/>
        <v>513.37828400120623</v>
      </c>
      <c r="CF50">
        <f t="shared" si="191"/>
        <v>488.53719375106903</v>
      </c>
      <c r="CG50">
        <f t="shared" si="191"/>
        <v>437.00265500538666</v>
      </c>
      <c r="CH50">
        <f t="shared" si="191"/>
        <v>384.32921380958248</v>
      </c>
      <c r="CI50">
        <f t="shared" si="191"/>
        <v>352.25461572043349</v>
      </c>
      <c r="CJ50">
        <f t="shared" si="191"/>
        <v>288.56978047113716</v>
      </c>
      <c r="CK50">
        <f t="shared" si="191"/>
        <v>288.4783187883296</v>
      </c>
      <c r="CL50">
        <f t="shared" si="191"/>
        <v>290.33436975087227</v>
      </c>
      <c r="CM50">
        <f t="shared" si="191"/>
        <v>274.88526423715683</v>
      </c>
      <c r="CN50">
        <f t="shared" si="191"/>
        <v>246.1800716045874</v>
      </c>
      <c r="CO50">
        <f t="shared" si="191"/>
        <v>283.39366820254082</v>
      </c>
      <c r="CP50">
        <f t="shared" si="191"/>
        <v>301.2727949371714</v>
      </c>
      <c r="CQ50">
        <f t="shared" si="191"/>
        <v>351.52393080607402</v>
      </c>
      <c r="CR50">
        <f t="shared" si="191"/>
        <v>448.09216600717946</v>
      </c>
      <c r="CS50">
        <f t="shared" si="191"/>
        <v>584.23314825858688</v>
      </c>
      <c r="CT50">
        <f t="shared" si="191"/>
        <v>696.79134637425602</v>
      </c>
      <c r="CU50">
        <f t="shared" si="191"/>
        <v>798.58580913687888</v>
      </c>
      <c r="CV50">
        <f t="shared" si="191"/>
        <v>829.80697785300083</v>
      </c>
      <c r="CW50">
        <f t="shared" si="191"/>
        <v>800.42535487636837</v>
      </c>
      <c r="CX50" s="2">
        <v>1</v>
      </c>
      <c r="CY50">
        <v>2</v>
      </c>
      <c r="CZ50">
        <v>3</v>
      </c>
      <c r="DA50">
        <v>4</v>
      </c>
      <c r="DB50">
        <v>5</v>
      </c>
      <c r="DC50">
        <v>6</v>
      </c>
      <c r="DD50">
        <v>7</v>
      </c>
      <c r="DE50">
        <v>8</v>
      </c>
      <c r="DF50">
        <v>9</v>
      </c>
      <c r="DG50">
        <v>10</v>
      </c>
      <c r="DS50" s="1"/>
      <c r="DU50" s="3"/>
      <c r="DV50" s="3"/>
      <c r="EJ50" s="1"/>
    </row>
    <row r="51" spans="1:140" x14ac:dyDescent="0.35">
      <c r="A51" t="s">
        <v>135</v>
      </c>
      <c r="B51">
        <f>C49 - B49</f>
        <v>23</v>
      </c>
      <c r="C51">
        <f>$DV$49*(C50 - B50) + (1-$DV$49)*B51</f>
        <v>23.000000000000114</v>
      </c>
      <c r="D51">
        <f t="shared" ref="D51:BO51" si="192">$DV$49*(D50 - C50) + (1-$DV$49)*C51</f>
        <v>-42.269229724600002</v>
      </c>
      <c r="E51">
        <f t="shared" si="192"/>
        <v>-32.5792256852733</v>
      </c>
      <c r="F51">
        <f t="shared" si="192"/>
        <v>-102.47505756108451</v>
      </c>
      <c r="G51">
        <f t="shared" si="192"/>
        <v>-159.91588325382099</v>
      </c>
      <c r="H51">
        <f t="shared" si="192"/>
        <v>-113.60568643877232</v>
      </c>
      <c r="I51">
        <f t="shared" si="192"/>
        <v>-76.902613474661848</v>
      </c>
      <c r="J51">
        <f t="shared" si="192"/>
        <v>-77.036528581211456</v>
      </c>
      <c r="K51">
        <f t="shared" si="192"/>
        <v>-16.950842332896556</v>
      </c>
      <c r="L51">
        <f t="shared" si="192"/>
        <v>13.417389391107024</v>
      </c>
      <c r="M51">
        <f t="shared" si="192"/>
        <v>14.20225450471732</v>
      </c>
      <c r="N51">
        <f t="shared" si="192"/>
        <v>1.6762566612999108</v>
      </c>
      <c r="O51">
        <f t="shared" si="192"/>
        <v>16.951767138085756</v>
      </c>
      <c r="P51">
        <f t="shared" si="192"/>
        <v>48.00042269081036</v>
      </c>
      <c r="Q51">
        <f t="shared" si="192"/>
        <v>84.607432976338913</v>
      </c>
      <c r="R51">
        <f t="shared" si="192"/>
        <v>45.691381130242085</v>
      </c>
      <c r="S51">
        <f t="shared" si="192"/>
        <v>-3.8321292341948441</v>
      </c>
      <c r="T51">
        <f t="shared" si="192"/>
        <v>13.141136727780857</v>
      </c>
      <c r="U51">
        <f t="shared" si="192"/>
        <v>5.3662686865132185</v>
      </c>
      <c r="V51">
        <f t="shared" si="192"/>
        <v>-36.34375758922971</v>
      </c>
      <c r="W51">
        <f t="shared" si="192"/>
        <v>-27.283413735270493</v>
      </c>
      <c r="X51">
        <f t="shared" si="192"/>
        <v>23.026975576541336</v>
      </c>
      <c r="Y51">
        <f t="shared" si="192"/>
        <v>-8.4566252520995899</v>
      </c>
      <c r="Z51">
        <f t="shared" si="192"/>
        <v>0.88441167952388711</v>
      </c>
      <c r="AA51">
        <f t="shared" si="192"/>
        <v>-23.971416325886146</v>
      </c>
      <c r="AB51">
        <f t="shared" si="192"/>
        <v>-20.829261414286879</v>
      </c>
      <c r="AC51">
        <f t="shared" si="192"/>
        <v>-42.256247372658123</v>
      </c>
      <c r="AD51">
        <f t="shared" si="192"/>
        <v>-60.535647261597639</v>
      </c>
      <c r="AE51">
        <f t="shared" si="192"/>
        <v>-53.202551178288033</v>
      </c>
      <c r="AF51">
        <f t="shared" si="192"/>
        <v>-24.920781188057315</v>
      </c>
      <c r="AG51">
        <f t="shared" si="192"/>
        <v>-50.320863470782463</v>
      </c>
      <c r="AH51">
        <f t="shared" si="192"/>
        <v>17.535707646952233</v>
      </c>
      <c r="AI51">
        <f t="shared" si="192"/>
        <v>21.57412864518637</v>
      </c>
      <c r="AJ51">
        <f t="shared" si="192"/>
        <v>4.1926569154313356</v>
      </c>
      <c r="AK51">
        <f t="shared" si="192"/>
        <v>-11.083796642885554</v>
      </c>
      <c r="AL51">
        <f t="shared" si="192"/>
        <v>51.263492029489584</v>
      </c>
      <c r="AM51">
        <f t="shared" si="192"/>
        <v>27.319112700868612</v>
      </c>
      <c r="AN51">
        <f t="shared" si="192"/>
        <v>54.599224376752488</v>
      </c>
      <c r="AO51">
        <f t="shared" si="192"/>
        <v>95.898828771467777</v>
      </c>
      <c r="AP51">
        <f t="shared" si="192"/>
        <v>131.01930117042059</v>
      </c>
      <c r="AQ51">
        <f t="shared" si="192"/>
        <v>103.93627318580813</v>
      </c>
      <c r="AR51">
        <f t="shared" si="192"/>
        <v>90.875421856617194</v>
      </c>
      <c r="AS51">
        <f t="shared" si="192"/>
        <v>19.319199212741172</v>
      </c>
      <c r="AT51">
        <f t="shared" si="192"/>
        <v>-40.987445318835483</v>
      </c>
      <c r="AU51">
        <f t="shared" si="192"/>
        <v>-29.538160016234922</v>
      </c>
      <c r="AV51">
        <f t="shared" si="192"/>
        <v>-13.01350366968636</v>
      </c>
      <c r="AW51">
        <f t="shared" si="192"/>
        <v>-23.958692544117472</v>
      </c>
      <c r="AX51">
        <f t="shared" si="192"/>
        <v>-10.57404905826429</v>
      </c>
      <c r="AY51">
        <f t="shared" si="192"/>
        <v>-76.944114838898642</v>
      </c>
      <c r="AZ51">
        <f t="shared" si="192"/>
        <v>-81.888055722555222</v>
      </c>
      <c r="BA51">
        <f t="shared" si="192"/>
        <v>-35.189622939324465</v>
      </c>
      <c r="BB51">
        <f t="shared" si="192"/>
        <v>4.5040798504679804</v>
      </c>
      <c r="BC51">
        <f t="shared" si="192"/>
        <v>4.5396762561523838</v>
      </c>
      <c r="BD51">
        <f t="shared" si="192"/>
        <v>-3.2307358033057714</v>
      </c>
      <c r="BE51">
        <f t="shared" si="192"/>
        <v>35.194096243351005</v>
      </c>
      <c r="BF51">
        <f t="shared" si="192"/>
        <v>68.590159397355023</v>
      </c>
      <c r="BG51">
        <f t="shared" si="192"/>
        <v>28.8701023860406</v>
      </c>
      <c r="BH51">
        <f t="shared" si="192"/>
        <v>54.503780467122603</v>
      </c>
      <c r="BI51">
        <f t="shared" si="192"/>
        <v>-9.6835216232238359</v>
      </c>
      <c r="BJ51">
        <f t="shared" si="192"/>
        <v>-71.201250957843698</v>
      </c>
      <c r="BK51">
        <f t="shared" si="192"/>
        <v>-37.376229967355705</v>
      </c>
      <c r="BL51">
        <f t="shared" si="192"/>
        <v>-19.49094503746894</v>
      </c>
      <c r="BM51">
        <f t="shared" si="192"/>
        <v>-42.276699826348676</v>
      </c>
      <c r="BN51">
        <f t="shared" si="192"/>
        <v>-6.0456750961620855</v>
      </c>
      <c r="BO51">
        <f t="shared" si="192"/>
        <v>1.7543943912754472</v>
      </c>
      <c r="BP51">
        <f t="shared" ref="BP51:CW51" si="193">$DV$49*(BP50 - BO50) + (1-$DV$49)*BO51</f>
        <v>-16.62819291955692</v>
      </c>
      <c r="BQ51">
        <f t="shared" si="193"/>
        <v>-43.354602528737125</v>
      </c>
      <c r="BR51">
        <f t="shared" si="193"/>
        <v>-36.395188425712995</v>
      </c>
      <c r="BS51">
        <f t="shared" si="193"/>
        <v>-7.5367401378615675</v>
      </c>
      <c r="BT51">
        <f t="shared" si="193"/>
        <v>32.614953924076964</v>
      </c>
      <c r="BU51">
        <f t="shared" si="193"/>
        <v>2.0565939824264139</v>
      </c>
      <c r="BV51">
        <f t="shared" si="193"/>
        <v>-35.604658959875358</v>
      </c>
      <c r="BW51">
        <f t="shared" si="193"/>
        <v>-4.7911828303755604</v>
      </c>
      <c r="BX51">
        <f t="shared" si="193"/>
        <v>1.6806637807141191</v>
      </c>
      <c r="BY51">
        <f t="shared" si="193"/>
        <v>-26.831858392601809</v>
      </c>
      <c r="BZ51">
        <f t="shared" si="193"/>
        <v>-6.8300833858384449</v>
      </c>
      <c r="CA51">
        <f t="shared" si="193"/>
        <v>51.302826788951421</v>
      </c>
      <c r="CB51">
        <f t="shared" si="193"/>
        <v>24.055564733115311</v>
      </c>
      <c r="CC51">
        <f t="shared" si="193"/>
        <v>33.982175028700112</v>
      </c>
      <c r="CD51">
        <f t="shared" si="193"/>
        <v>6.365670626827141</v>
      </c>
      <c r="CE51">
        <f t="shared" si="193"/>
        <v>4.0075935750020308</v>
      </c>
      <c r="CF51">
        <f t="shared" si="193"/>
        <v>-24.840599046460884</v>
      </c>
      <c r="CG51">
        <f t="shared" si="193"/>
        <v>-51.534084230620437</v>
      </c>
      <c r="CH51">
        <f t="shared" si="193"/>
        <v>-52.673421796086203</v>
      </c>
      <c r="CI51">
        <f t="shared" si="193"/>
        <v>-32.074948823275854</v>
      </c>
      <c r="CJ51">
        <f t="shared" si="193"/>
        <v>-63.684297030897376</v>
      </c>
      <c r="CK51">
        <f t="shared" si="193"/>
        <v>-9.2544471703565695E-2</v>
      </c>
      <c r="CL51">
        <f t="shared" si="193"/>
        <v>1.856017784001603</v>
      </c>
      <c r="CM51">
        <f t="shared" si="193"/>
        <v>-15.448810861098549</v>
      </c>
      <c r="CN51">
        <f t="shared" si="193"/>
        <v>-28.704966917472682</v>
      </c>
      <c r="CO51">
        <f t="shared" si="193"/>
        <v>37.212474209114738</v>
      </c>
      <c r="CP51">
        <f t="shared" si="193"/>
        <v>17.879455921619225</v>
      </c>
      <c r="CQ51">
        <f t="shared" si="193"/>
        <v>50.250584679520991</v>
      </c>
      <c r="CR51">
        <f t="shared" si="193"/>
        <v>96.567446555066951</v>
      </c>
      <c r="CS51">
        <f t="shared" si="193"/>
        <v>136.14030843674271</v>
      </c>
      <c r="CT51">
        <f t="shared" si="193"/>
        <v>112.55859964592109</v>
      </c>
      <c r="CU51">
        <f t="shared" si="193"/>
        <v>101.79464604251325</v>
      </c>
      <c r="CV51">
        <f t="shared" si="193"/>
        <v>31.222370363716102</v>
      </c>
      <c r="CW51">
        <f t="shared" si="193"/>
        <v>-29.380591078452682</v>
      </c>
      <c r="DS51" s="1"/>
      <c r="DU51" s="3"/>
      <c r="DV51" s="3"/>
      <c r="EJ51" s="1"/>
    </row>
    <row r="52" spans="1:140" x14ac:dyDescent="0.35">
      <c r="A52" t="s">
        <v>114</v>
      </c>
      <c r="B52">
        <v>77</v>
      </c>
      <c r="C52">
        <v>322</v>
      </c>
      <c r="D52">
        <v>260</v>
      </c>
      <c r="E52">
        <v>233</v>
      </c>
      <c r="F52">
        <v>284</v>
      </c>
      <c r="G52">
        <v>399</v>
      </c>
      <c r="H52">
        <v>370</v>
      </c>
      <c r="I52">
        <v>209</v>
      </c>
      <c r="J52">
        <v>368</v>
      </c>
      <c r="K52">
        <v>240</v>
      </c>
      <c r="L52">
        <v>350</v>
      </c>
      <c r="M52">
        <v>402</v>
      </c>
      <c r="N52">
        <v>343</v>
      </c>
      <c r="O52">
        <v>204</v>
      </c>
      <c r="P52">
        <v>298</v>
      </c>
      <c r="Q52">
        <v>226</v>
      </c>
      <c r="R52">
        <v>235</v>
      </c>
      <c r="S52">
        <v>4</v>
      </c>
      <c r="T52">
        <v>478</v>
      </c>
      <c r="U52">
        <v>174</v>
      </c>
      <c r="V52">
        <v>451</v>
      </c>
      <c r="W52">
        <v>295</v>
      </c>
      <c r="X52">
        <v>77</v>
      </c>
      <c r="Y52">
        <v>322</v>
      </c>
      <c r="Z52">
        <v>260</v>
      </c>
      <c r="AA52">
        <v>233</v>
      </c>
      <c r="AB52">
        <v>284</v>
      </c>
      <c r="AC52">
        <v>399</v>
      </c>
      <c r="AD52">
        <v>370</v>
      </c>
      <c r="AE52">
        <v>209</v>
      </c>
      <c r="AF52">
        <v>368</v>
      </c>
      <c r="AG52">
        <v>240</v>
      </c>
      <c r="AH52">
        <v>350</v>
      </c>
      <c r="AI52">
        <v>402</v>
      </c>
      <c r="AJ52">
        <v>343</v>
      </c>
      <c r="AK52">
        <v>204</v>
      </c>
      <c r="AL52">
        <v>298</v>
      </c>
      <c r="AM52">
        <v>226</v>
      </c>
      <c r="AN52">
        <v>235</v>
      </c>
      <c r="AO52">
        <v>4</v>
      </c>
      <c r="AP52">
        <v>478</v>
      </c>
      <c r="AQ52">
        <v>174</v>
      </c>
      <c r="AR52">
        <v>451</v>
      </c>
      <c r="AS52">
        <v>295</v>
      </c>
      <c r="AT52">
        <v>77</v>
      </c>
      <c r="AU52">
        <v>322</v>
      </c>
      <c r="AV52">
        <v>260</v>
      </c>
      <c r="AW52">
        <v>233</v>
      </c>
      <c r="AX52">
        <v>284</v>
      </c>
      <c r="AY52">
        <v>399</v>
      </c>
      <c r="AZ52">
        <v>370</v>
      </c>
      <c r="BA52">
        <v>209</v>
      </c>
      <c r="BB52">
        <v>368</v>
      </c>
      <c r="BC52">
        <v>240</v>
      </c>
      <c r="BD52">
        <v>350</v>
      </c>
      <c r="BE52">
        <v>402</v>
      </c>
      <c r="BF52">
        <v>343</v>
      </c>
      <c r="BG52">
        <v>204</v>
      </c>
      <c r="BH52">
        <v>298</v>
      </c>
      <c r="BI52">
        <v>226</v>
      </c>
      <c r="BJ52">
        <v>235</v>
      </c>
      <c r="BK52">
        <v>4</v>
      </c>
      <c r="BL52">
        <v>478</v>
      </c>
      <c r="BM52">
        <v>174</v>
      </c>
      <c r="BN52">
        <v>451</v>
      </c>
      <c r="BO52">
        <v>295</v>
      </c>
      <c r="BP52">
        <v>77</v>
      </c>
      <c r="BQ52">
        <v>322</v>
      </c>
      <c r="BR52">
        <v>260</v>
      </c>
      <c r="BS52">
        <v>233</v>
      </c>
      <c r="BT52">
        <v>284</v>
      </c>
      <c r="BU52">
        <v>399</v>
      </c>
      <c r="BV52">
        <v>370</v>
      </c>
      <c r="BW52">
        <v>209</v>
      </c>
      <c r="BX52">
        <v>368</v>
      </c>
      <c r="BY52">
        <v>240</v>
      </c>
      <c r="BZ52">
        <v>350</v>
      </c>
      <c r="CA52">
        <v>402</v>
      </c>
      <c r="CB52">
        <v>343</v>
      </c>
      <c r="CC52">
        <v>204</v>
      </c>
      <c r="CD52">
        <v>298</v>
      </c>
      <c r="CE52">
        <v>226</v>
      </c>
      <c r="CF52">
        <v>235</v>
      </c>
      <c r="CG52">
        <v>4</v>
      </c>
      <c r="CH52">
        <v>478</v>
      </c>
      <c r="CI52">
        <v>174</v>
      </c>
      <c r="CJ52">
        <v>451</v>
      </c>
      <c r="CK52">
        <v>295</v>
      </c>
      <c r="CL52">
        <v>77</v>
      </c>
      <c r="CM52">
        <v>322</v>
      </c>
      <c r="CN52">
        <v>260</v>
      </c>
      <c r="CO52">
        <v>233</v>
      </c>
      <c r="CP52">
        <v>284</v>
      </c>
      <c r="CQ52">
        <v>399</v>
      </c>
      <c r="CR52">
        <v>370</v>
      </c>
      <c r="CS52">
        <v>209</v>
      </c>
      <c r="CT52">
        <v>368</v>
      </c>
      <c r="CU52">
        <v>240</v>
      </c>
      <c r="CV52">
        <v>350</v>
      </c>
      <c r="CW52">
        <v>402</v>
      </c>
      <c r="CX52" s="2">
        <f>$CW53 + CX53*$CW54</f>
        <v>193.53258899190482</v>
      </c>
      <c r="CY52">
        <f t="shared" ref="CY52:DG52" si="194">$CW53 + CY53*$CW54</f>
        <v>204.78606375953828</v>
      </c>
      <c r="CZ52">
        <f t="shared" si="194"/>
        <v>216.03953852717177</v>
      </c>
      <c r="DA52">
        <f t="shared" si="194"/>
        <v>227.29301329480523</v>
      </c>
      <c r="DB52">
        <f t="shared" si="194"/>
        <v>238.5464880624387</v>
      </c>
      <c r="DC52">
        <f t="shared" si="194"/>
        <v>249.79996283007216</v>
      </c>
      <c r="DD52">
        <f t="shared" si="194"/>
        <v>261.05343759770562</v>
      </c>
      <c r="DE52">
        <f t="shared" si="194"/>
        <v>272.30691236533909</v>
      </c>
      <c r="DF52">
        <f t="shared" si="194"/>
        <v>283.56038713297255</v>
      </c>
      <c r="DG52">
        <f t="shared" si="194"/>
        <v>294.81386190060601</v>
      </c>
      <c r="DI52">
        <f t="shared" ref="DI52:DR52" si="195">ABS(CX52-CX5)</f>
        <v>149.46741100809518</v>
      </c>
      <c r="DJ52">
        <f t="shared" si="195"/>
        <v>0.78606375953827978</v>
      </c>
      <c r="DK52">
        <f t="shared" si="195"/>
        <v>81.960461472828229</v>
      </c>
      <c r="DL52">
        <f t="shared" si="195"/>
        <v>1.2930132948052346</v>
      </c>
      <c r="DM52">
        <f t="shared" si="195"/>
        <v>3.5464880624386979</v>
      </c>
      <c r="DN52">
        <f t="shared" si="195"/>
        <v>245.79996283007216</v>
      </c>
      <c r="DO52">
        <f t="shared" si="195"/>
        <v>216.94656240229438</v>
      </c>
      <c r="DP52">
        <f t="shared" si="195"/>
        <v>98.306912365339088</v>
      </c>
      <c r="DQ52">
        <f t="shared" si="195"/>
        <v>167.43961286702745</v>
      </c>
      <c r="DR52">
        <f t="shared" si="195"/>
        <v>0.18613809939398607</v>
      </c>
      <c r="DS52" s="1">
        <f t="shared" si="36"/>
        <v>965.73262616183274</v>
      </c>
      <c r="DU52" s="3">
        <v>5.3508550758231251E-2</v>
      </c>
      <c r="DV52" s="3">
        <v>0.26957210749123511</v>
      </c>
      <c r="DZ52">
        <f>ABS(CX52-CX$5)/MAX($B$5:$CW$5)</f>
        <v>0.31269332846881837</v>
      </c>
      <c r="EA52">
        <f t="shared" ref="EA52" si="196">ABS(CY52-CY$5)/MAX($B$5:$CW$5)</f>
        <v>1.6444848525905434E-3</v>
      </c>
      <c r="EB52">
        <f t="shared" ref="EB52" si="197">ABS(CZ52-CZ$5)/MAX($B$5:$CW$5)</f>
        <v>0.17146540057077037</v>
      </c>
      <c r="EC52">
        <f t="shared" ref="EC52" si="198">ABS(DA52-DA$5)/MAX($B$5:$CW$5)</f>
        <v>2.7050487339021646E-3</v>
      </c>
      <c r="ED52">
        <f t="shared" ref="ED52" si="199">ABS(DB52-DB$5)/MAX($B$5:$CW$5)</f>
        <v>7.4194310929679872E-3</v>
      </c>
      <c r="EE52">
        <f t="shared" ref="EE52" si="200">ABS(DC52-DC$5)/MAX($B$5:$CW$5)</f>
        <v>0.51422586366123879</v>
      </c>
      <c r="EF52">
        <f t="shared" ref="EF52" si="201">ABS(DD52-DD$5)/MAX($B$5:$CW$5)</f>
        <v>0.4538631012600301</v>
      </c>
      <c r="EG52">
        <f t="shared" ref="EG52" si="202">ABS(DE52-DE$5)/MAX($B$5:$CW$5)</f>
        <v>0.20566299658020729</v>
      </c>
      <c r="EH52">
        <f t="shared" ref="EH52" si="203">ABS(DF52-DF$5)/MAX($B$5:$CW$5)</f>
        <v>0.35029207712767246</v>
      </c>
      <c r="EI52">
        <f t="shared" ref="EI52" si="204">ABS(DG52-DG$5)/MAX($B$5:$CW$5)</f>
        <v>3.8941024977821355E-4</v>
      </c>
      <c r="EJ52" s="1">
        <f t="shared" ref="EJ52" si="205">SUM(DZ52:EI52)</f>
        <v>2.0203611425979764</v>
      </c>
    </row>
    <row r="53" spans="1:140" x14ac:dyDescent="0.35">
      <c r="A53" t="s">
        <v>136</v>
      </c>
      <c r="B53">
        <f>B52</f>
        <v>77</v>
      </c>
      <c r="C53">
        <f>$DU$52*C52 + (1-$DU$52)*(B53 + B54)</f>
        <v>322</v>
      </c>
      <c r="D53">
        <f t="shared" ref="D53:BO53" si="206">$DU$52*D52 + (1-$DU$52)*(C53 + C54)</f>
        <v>550.57287491722309</v>
      </c>
      <c r="E53">
        <f t="shared" si="206"/>
        <v>761.27907258918151</v>
      </c>
      <c r="F53">
        <f t="shared" si="206"/>
        <v>955.81950766172258</v>
      </c>
      <c r="G53">
        <f t="shared" si="206"/>
        <v>1136.4132474234657</v>
      </c>
      <c r="H53">
        <f t="shared" si="206"/>
        <v>1295.1551768399702</v>
      </c>
      <c r="I53">
        <f t="shared" si="206"/>
        <v>1423.4433588250147</v>
      </c>
      <c r="J53">
        <f t="shared" si="206"/>
        <v>1535.8572533572897</v>
      </c>
      <c r="K53">
        <f t="shared" si="206"/>
        <v>1618.5612937009566</v>
      </c>
      <c r="L53">
        <f t="shared" si="206"/>
        <v>1682.8409641214964</v>
      </c>
      <c r="M53">
        <f t="shared" si="206"/>
        <v>1727.2381189152068</v>
      </c>
      <c r="N53">
        <f t="shared" si="206"/>
        <v>1746.9868601222283</v>
      </c>
      <c r="O53">
        <f t="shared" si="206"/>
        <v>1737.9895002210258</v>
      </c>
      <c r="P53">
        <f t="shared" si="206"/>
        <v>1712.3764820030717</v>
      </c>
      <c r="Q53">
        <f t="shared" si="206"/>
        <v>1663.8798133895577</v>
      </c>
      <c r="R53">
        <f t="shared" si="206"/>
        <v>1597.7191362066092</v>
      </c>
      <c r="S53">
        <f t="shared" si="206"/>
        <v>1503.0817224051477</v>
      </c>
      <c r="T53">
        <f t="shared" si="206"/>
        <v>1417.247898943154</v>
      </c>
      <c r="U53">
        <f t="shared" si="206"/>
        <v>1306.1922201373598</v>
      </c>
      <c r="V53">
        <f t="shared" si="206"/>
        <v>1199.569630369494</v>
      </c>
      <c r="W53">
        <f t="shared" si="206"/>
        <v>1079.5072495843908</v>
      </c>
      <c r="X53">
        <f t="shared" si="206"/>
        <v>942.88831232037933</v>
      </c>
      <c r="Y53">
        <f t="shared" si="206"/>
        <v>814.199320878516</v>
      </c>
      <c r="Z53">
        <f t="shared" si="206"/>
        <v>681.97907453762878</v>
      </c>
      <c r="AA53">
        <f t="shared" si="206"/>
        <v>549.302210726167</v>
      </c>
      <c r="AB53">
        <f t="shared" si="206"/>
        <v>421.89115604905123</v>
      </c>
      <c r="AC53">
        <f t="shared" si="206"/>
        <v>305.46216663961684</v>
      </c>
      <c r="AD53">
        <f t="shared" si="206"/>
        <v>195.06060406823696</v>
      </c>
      <c r="AE53">
        <f t="shared" si="206"/>
        <v>84.474990500745321</v>
      </c>
      <c r="AF53">
        <f t="shared" si="206"/>
        <v>-9.8892874389512535</v>
      </c>
      <c r="AG53">
        <f t="shared" si="206"/>
        <v>-100.60253304633177</v>
      </c>
      <c r="AH53">
        <f t="shared" si="206"/>
        <v>-175.66291222701912</v>
      </c>
      <c r="AI53">
        <f t="shared" si="206"/>
        <v>-236.34209582107957</v>
      </c>
      <c r="AJ53">
        <f t="shared" si="206"/>
        <v>-287.72371883893214</v>
      </c>
      <c r="AK53">
        <f t="shared" si="206"/>
        <v>-334.69585494768648</v>
      </c>
      <c r="AL53">
        <f t="shared" si="206"/>
        <v>-366.35440497233355</v>
      </c>
      <c r="AM53">
        <f t="shared" si="206"/>
        <v>-390.5886453400218</v>
      </c>
      <c r="AN53">
        <f t="shared" si="206"/>
        <v>-404.15064052394291</v>
      </c>
      <c r="AO53">
        <f t="shared" si="206"/>
        <v>-420.12805554714231</v>
      </c>
      <c r="AP53">
        <f t="shared" si="206"/>
        <v>-403.76969103631302</v>
      </c>
      <c r="AQ53">
        <f t="shared" si="206"/>
        <v>-391.83422831861071</v>
      </c>
      <c r="AR53">
        <f t="shared" si="206"/>
        <v>-357.55371986976269</v>
      </c>
      <c r="AS53">
        <f t="shared" si="206"/>
        <v>-321.79193304184463</v>
      </c>
      <c r="AT53">
        <f t="shared" si="206"/>
        <v>-290.71171021303871</v>
      </c>
      <c r="AU53">
        <f t="shared" si="206"/>
        <v>-242.88092463098573</v>
      </c>
      <c r="AV53">
        <f t="shared" si="206"/>
        <v>-192.77894957620862</v>
      </c>
      <c r="AW53">
        <f t="shared" si="206"/>
        <v>-140.2715189928673</v>
      </c>
      <c r="AX53">
        <f t="shared" si="206"/>
        <v>-82.460526360205563</v>
      </c>
      <c r="AY53">
        <f t="shared" si="206"/>
        <v>-16.303454918100869</v>
      </c>
      <c r="AZ53">
        <f t="shared" si="206"/>
        <v>50.752408006372924</v>
      </c>
      <c r="BA53">
        <f t="shared" si="206"/>
        <v>110.21029126510822</v>
      </c>
      <c r="BB53">
        <f t="shared" si="206"/>
        <v>176.41951246893291</v>
      </c>
      <c r="BC53">
        <f t="shared" si="206"/>
        <v>235.00031573819697</v>
      </c>
      <c r="BD53">
        <f t="shared" si="206"/>
        <v>296.40460321532049</v>
      </c>
      <c r="BE53">
        <f t="shared" si="206"/>
        <v>358.07876302585441</v>
      </c>
      <c r="BF53">
        <f t="shared" si="206"/>
        <v>413.92936148361616</v>
      </c>
      <c r="BG53">
        <f t="shared" si="206"/>
        <v>458.3306724140831</v>
      </c>
      <c r="BH53">
        <f t="shared" si="206"/>
        <v>501.71736671040634</v>
      </c>
      <c r="BI53">
        <f t="shared" si="206"/>
        <v>535.99138282686306</v>
      </c>
      <c r="BJ53">
        <f t="shared" si="206"/>
        <v>564.44157929977405</v>
      </c>
      <c r="BK53">
        <f t="shared" si="206"/>
        <v>574.25697043326511</v>
      </c>
      <c r="BL53">
        <f t="shared" si="206"/>
        <v>600.68458532975569</v>
      </c>
      <c r="BM53">
        <f t="shared" si="206"/>
        <v>607.66184432004798</v>
      </c>
      <c r="BN53">
        <f t="shared" si="206"/>
        <v>622.83231139688507</v>
      </c>
      <c r="BO53">
        <f t="shared" si="206"/>
        <v>626.36511465643162</v>
      </c>
      <c r="BP53">
        <f t="shared" ref="BP53:CW53" si="207">$DU$52*BP52 + (1-$DU$52)*(BO53 + BO54)</f>
        <v>613.26427146792184</v>
      </c>
      <c r="BQ53">
        <f t="shared" si="207"/>
        <v>606.23873312813294</v>
      </c>
      <c r="BR53">
        <f t="shared" si="207"/>
        <v>592.17161419674153</v>
      </c>
      <c r="BS53">
        <f t="shared" si="207"/>
        <v>572.62109505972091</v>
      </c>
      <c r="BT53">
        <f t="shared" si="207"/>
        <v>551.94679708735498</v>
      </c>
      <c r="BU53">
        <f t="shared" si="207"/>
        <v>534.66725896588969</v>
      </c>
      <c r="BV53">
        <f t="shared" si="207"/>
        <v>514.80365536876639</v>
      </c>
      <c r="BW53">
        <f t="shared" si="207"/>
        <v>485.29934004137601</v>
      </c>
      <c r="BX53">
        <f t="shared" si="207"/>
        <v>461.89616170261485</v>
      </c>
      <c r="BY53">
        <f t="shared" si="207"/>
        <v>431.54176202641958</v>
      </c>
      <c r="BZ53">
        <f t="shared" si="207"/>
        <v>405.93464542616306</v>
      </c>
      <c r="CA53">
        <f t="shared" si="207"/>
        <v>383.67334874844744</v>
      </c>
      <c r="CB53">
        <f t="shared" si="207"/>
        <v>359.7105684820533</v>
      </c>
      <c r="CC53">
        <f t="shared" si="207"/>
        <v>329.3512731666051</v>
      </c>
      <c r="CD53">
        <f t="shared" si="207"/>
        <v>303.83814500805465</v>
      </c>
      <c r="CE53">
        <f t="shared" si="207"/>
        <v>275.75335989442146</v>
      </c>
      <c r="CF53">
        <f t="shared" si="207"/>
        <v>248.93526488625938</v>
      </c>
      <c r="CG53">
        <f t="shared" si="207"/>
        <v>210.99068403777844</v>
      </c>
      <c r="CH53">
        <f t="shared" si="207"/>
        <v>197.45379670739803</v>
      </c>
      <c r="CI53">
        <f t="shared" si="207"/>
        <v>172.42136341418032</v>
      </c>
      <c r="CJ53">
        <f t="shared" si="207"/>
        <v>163.57301881423467</v>
      </c>
      <c r="CK53">
        <f t="shared" si="207"/>
        <v>150.99676781768974</v>
      </c>
      <c r="CL53">
        <f t="shared" si="207"/>
        <v>129.50575178570369</v>
      </c>
      <c r="CM53">
        <f t="shared" si="207"/>
        <v>121.51691917371984</v>
      </c>
      <c r="CN53">
        <f t="shared" si="207"/>
        <v>113.52987798663506</v>
      </c>
      <c r="CO53">
        <f t="shared" si="207"/>
        <v>106.63822643014875</v>
      </c>
      <c r="CP53">
        <f t="shared" si="207"/>
        <v>104.66696763314498</v>
      </c>
      <c r="CQ53">
        <f t="shared" si="207"/>
        <v>111.54144506167802</v>
      </c>
      <c r="CR53">
        <f t="shared" si="207"/>
        <v>120.64275205217407</v>
      </c>
      <c r="CS53">
        <f t="shared" si="207"/>
        <v>124.23901650177572</v>
      </c>
      <c r="CT53">
        <f t="shared" si="207"/>
        <v>137.37333703812712</v>
      </c>
      <c r="CU53">
        <f t="shared" si="207"/>
        <v>146.28241880881768</v>
      </c>
      <c r="CV53">
        <f t="shared" si="207"/>
        <v>161.95255018618718</v>
      </c>
      <c r="CW53">
        <f t="shared" si="207"/>
        <v>182.27911422427135</v>
      </c>
      <c r="CX53" s="2">
        <v>1</v>
      </c>
      <c r="CY53">
        <v>2</v>
      </c>
      <c r="CZ53">
        <v>3</v>
      </c>
      <c r="DA53">
        <v>4</v>
      </c>
      <c r="DB53">
        <v>5</v>
      </c>
      <c r="DC53">
        <v>6</v>
      </c>
      <c r="DD53">
        <v>7</v>
      </c>
      <c r="DE53">
        <v>8</v>
      </c>
      <c r="DF53">
        <v>9</v>
      </c>
      <c r="DG53">
        <v>10</v>
      </c>
      <c r="DS53" s="1"/>
      <c r="DU53" s="3"/>
      <c r="DV53" s="3"/>
      <c r="EJ53" s="1"/>
    </row>
    <row r="54" spans="1:140" x14ac:dyDescent="0.35">
      <c r="A54" t="s">
        <v>137</v>
      </c>
      <c r="B54">
        <f>C52 - B52</f>
        <v>245</v>
      </c>
      <c r="C54">
        <f>$DV$52*(C53 - B53) + (1-$DV$52)*B54</f>
        <v>245</v>
      </c>
      <c r="D54">
        <f t="shared" ref="D54:BO54" si="208">$DV$52*(D53 - C53) + (1-$DV$52)*C54</f>
        <v>240.57170527141369</v>
      </c>
      <c r="E54">
        <f t="shared" si="208"/>
        <v>232.52079744653304</v>
      </c>
      <c r="F54">
        <f t="shared" si="208"/>
        <v>222.28235111809522</v>
      </c>
      <c r="G54">
        <f t="shared" si="208"/>
        <v>211.04426429638033</v>
      </c>
      <c r="H54">
        <f t="shared" si="208"/>
        <v>196.94501365609983</v>
      </c>
      <c r="I54">
        <f t="shared" si="208"/>
        <v>178.43704684886248</v>
      </c>
      <c r="J54">
        <f t="shared" si="208"/>
        <v>160.63904653566516</v>
      </c>
      <c r="K54">
        <f t="shared" si="208"/>
        <v>139.62994266914575</v>
      </c>
      <c r="L54">
        <f t="shared" si="208"/>
        <v>119.3176109790507</v>
      </c>
      <c r="M54">
        <f t="shared" si="208"/>
        <v>99.121145710963745</v>
      </c>
      <c r="N54">
        <f t="shared" si="208"/>
        <v>77.724559352189246</v>
      </c>
      <c r="O54">
        <f t="shared" si="208"/>
        <v>54.346748813367689</v>
      </c>
      <c r="P54">
        <f t="shared" si="208"/>
        <v>32.791825900226101</v>
      </c>
      <c r="Q54">
        <f t="shared" si="208"/>
        <v>10.878715119367483</v>
      </c>
      <c r="R54">
        <f t="shared" si="208"/>
        <v>-9.8889562234118955</v>
      </c>
      <c r="S54">
        <f t="shared" si="208"/>
        <v>-32.734776539358243</v>
      </c>
      <c r="T54">
        <f t="shared" si="208"/>
        <v>-47.048798524069056</v>
      </c>
      <c r="U54">
        <f t="shared" si="208"/>
        <v>-64.303268135552912</v>
      </c>
      <c r="V54">
        <f t="shared" si="208"/>
        <v>-75.711376855574898</v>
      </c>
      <c r="W54">
        <f t="shared" si="208"/>
        <v>-87.667170454209895</v>
      </c>
      <c r="X54">
        <f t="shared" si="208"/>
        <v>-100.8632013985476</v>
      </c>
      <c r="Y54">
        <f t="shared" si="208"/>
        <v>-108.36425826313284</v>
      </c>
      <c r="Z54">
        <f t="shared" si="208"/>
        <v>-114.79516724553886</v>
      </c>
      <c r="AA54">
        <f t="shared" si="208"/>
        <v>-119.61557387433348</v>
      </c>
      <c r="AB54">
        <f t="shared" si="208"/>
        <v>-121.71701806324697</v>
      </c>
      <c r="AC54">
        <f t="shared" si="208"/>
        <v>-120.29151303456467</v>
      </c>
      <c r="AD54">
        <f t="shared" si="208"/>
        <v>-117.62545824522002</v>
      </c>
      <c r="AE54">
        <f t="shared" si="208"/>
        <v>-115.72771247903381</v>
      </c>
      <c r="AF54">
        <f t="shared" si="208"/>
        <v>-109.96872640701362</v>
      </c>
      <c r="AG54">
        <f t="shared" si="208"/>
        <v>-104.7779858670995</v>
      </c>
      <c r="AH54">
        <f t="shared" si="208"/>
        <v>-96.766948003047759</v>
      </c>
      <c r="AI54">
        <f t="shared" si="208"/>
        <v>-87.038693296669862</v>
      </c>
      <c r="AJ54">
        <f t="shared" si="208"/>
        <v>-77.426541714645992</v>
      </c>
      <c r="AK54">
        <f t="shared" si="208"/>
        <v>-69.216883413072892</v>
      </c>
      <c r="AL54">
        <f t="shared" si="208"/>
        <v>-59.092204327696521</v>
      </c>
      <c r="AM54">
        <f t="shared" si="208"/>
        <v>-49.695469520143561</v>
      </c>
      <c r="AN54">
        <f t="shared" si="208"/>
        <v>-39.954892692347613</v>
      </c>
      <c r="AO54">
        <f t="shared" si="208"/>
        <v>-33.4912335047513</v>
      </c>
      <c r="AP54">
        <f t="shared" si="208"/>
        <v>-20.053172310100347</v>
      </c>
      <c r="AQ54">
        <f t="shared" si="208"/>
        <v>-11.42992854988764</v>
      </c>
      <c r="AR54">
        <f t="shared" si="208"/>
        <v>0.89233028620686206</v>
      </c>
      <c r="AS54">
        <f t="shared" si="208"/>
        <v>10.292163173229984</v>
      </c>
      <c r="AT54">
        <f t="shared" si="208"/>
        <v>15.896044225237105</v>
      </c>
      <c r="AU54">
        <f t="shared" si="208"/>
        <v>24.504759754981464</v>
      </c>
      <c r="AV54">
        <f t="shared" si="208"/>
        <v>31.405055029254264</v>
      </c>
      <c r="AW54">
        <f t="shared" si="208"/>
        <v>37.093666880441027</v>
      </c>
      <c r="AX54">
        <f t="shared" si="208"/>
        <v>42.678480045049596</v>
      </c>
      <c r="AY54">
        <f t="shared" si="208"/>
        <v>49.007653408879321</v>
      </c>
      <c r="AZ54">
        <f t="shared" si="208"/>
        <v>53.87294728444148</v>
      </c>
      <c r="BA54">
        <f t="shared" si="208"/>
        <v>55.378490245235476</v>
      </c>
      <c r="BB54">
        <f t="shared" si="208"/>
        <v>58.298153215412938</v>
      </c>
      <c r="BC54">
        <f t="shared" si="208"/>
        <v>58.374347786112097</v>
      </c>
      <c r="BD54">
        <f t="shared" si="208"/>
        <v>59.191135014189385</v>
      </c>
      <c r="BE54">
        <f t="shared" si="208"/>
        <v>59.860489241492971</v>
      </c>
      <c r="BF54">
        <f t="shared" si="208"/>
        <v>58.779534532112862</v>
      </c>
      <c r="BG54">
        <f t="shared" si="208"/>
        <v>54.903566493836948</v>
      </c>
      <c r="BH54">
        <f t="shared" si="208"/>
        <v>51.798938983845957</v>
      </c>
      <c r="BI54">
        <f t="shared" si="208"/>
        <v>47.074708592862493</v>
      </c>
      <c r="BJ54">
        <f t="shared" si="208"/>
        <v>42.054059609691116</v>
      </c>
      <c r="BK54">
        <f t="shared" si="208"/>
        <v>33.36341380585062</v>
      </c>
      <c r="BL54">
        <f t="shared" si="208"/>
        <v>31.493715876719023</v>
      </c>
      <c r="BM54">
        <f t="shared" si="208"/>
        <v>24.884762925626962</v>
      </c>
      <c r="BN54">
        <f t="shared" si="208"/>
        <v>22.266059720875319</v>
      </c>
      <c r="BO54">
        <f t="shared" si="208"/>
        <v>17.216096296421121</v>
      </c>
      <c r="BP54">
        <f t="shared" ref="BP54:CW54" si="209">$DV$52*(BP53 - BO53) + (1-$DV$52)*BO54</f>
        <v>9.0434950267840595</v>
      </c>
      <c r="BQ54">
        <f t="shared" si="209"/>
        <v>4.7117318368100074</v>
      </c>
      <c r="BR54">
        <f t="shared" si="209"/>
        <v>-0.35052254103744707</v>
      </c>
      <c r="BS54">
        <f t="shared" si="209"/>
        <v>-5.5263060872411698</v>
      </c>
      <c r="BT54">
        <f t="shared" si="209"/>
        <v>-9.6097821839743798</v>
      </c>
      <c r="BU54">
        <f t="shared" si="209"/>
        <v>-11.677334455987218</v>
      </c>
      <c r="BV54">
        <f t="shared" si="209"/>
        <v>-13.884124280853735</v>
      </c>
      <c r="BW54">
        <f t="shared" si="209"/>
        <v>-18.094892100684337</v>
      </c>
      <c r="BX54">
        <f t="shared" si="209"/>
        <v>-19.525858009049426</v>
      </c>
      <c r="BY54">
        <f t="shared" si="209"/>
        <v>-22.444930807318585</v>
      </c>
      <c r="BZ54">
        <f t="shared" si="209"/>
        <v>-23.297367895799706</v>
      </c>
      <c r="CA54">
        <f t="shared" si="209"/>
        <v>-23.018071994029768</v>
      </c>
      <c r="CB54">
        <f t="shared" si="209"/>
        <v>-23.27273899397543</v>
      </c>
      <c r="CC54">
        <f t="shared" si="209"/>
        <v>-25.18307691641018</v>
      </c>
      <c r="CD54">
        <f t="shared" si="209"/>
        <v>-25.27204952533403</v>
      </c>
      <c r="CE54">
        <f t="shared" si="209"/>
        <v>-26.030284585687433</v>
      </c>
      <c r="CF54">
        <f t="shared" si="209"/>
        <v>-26.242656301577483</v>
      </c>
      <c r="CG54">
        <f t="shared" si="209"/>
        <v>-29.397168763389665</v>
      </c>
      <c r="CH54">
        <f t="shared" si="209"/>
        <v>-25.121679272089253</v>
      </c>
      <c r="CI54">
        <f t="shared" si="209"/>
        <v>-25.09762104547973</v>
      </c>
      <c r="CJ54">
        <f t="shared" si="209"/>
        <v>-20.71726934884942</v>
      </c>
      <c r="CK54">
        <f t="shared" si="209"/>
        <v>-18.522677874493873</v>
      </c>
      <c r="CL54">
        <f t="shared" si="209"/>
        <v>-19.322859047355685</v>
      </c>
      <c r="CM54">
        <f t="shared" si="209"/>
        <v>-16.267521654811127</v>
      </c>
      <c r="CN54">
        <f t="shared" si="209"/>
        <v>-14.035335084086128</v>
      </c>
      <c r="CO54">
        <f t="shared" si="209"/>
        <v>-12.109597260300623</v>
      </c>
      <c r="CP54">
        <f t="shared" si="209"/>
        <v>-9.3765839942902396</v>
      </c>
      <c r="CQ54">
        <f t="shared" si="209"/>
        <v>-4.9957511175702578</v>
      </c>
      <c r="CR54">
        <f t="shared" si="209"/>
        <v>-1.1955774539524175</v>
      </c>
      <c r="CS54">
        <f t="shared" si="209"/>
        <v>9.6169466753463828E-2</v>
      </c>
      <c r="CT54">
        <f t="shared" si="209"/>
        <v>3.6108913283740796</v>
      </c>
      <c r="CU54">
        <f t="shared" si="209"/>
        <v>5.0391356917992525</v>
      </c>
      <c r="CV54">
        <f t="shared" si="209"/>
        <v>7.9049556034886521</v>
      </c>
      <c r="CW54">
        <f t="shared" si="209"/>
        <v>11.253474767633467</v>
      </c>
      <c r="DS54" s="1"/>
      <c r="DU54" s="3"/>
      <c r="DV54" s="3"/>
      <c r="EJ54" s="1"/>
    </row>
    <row r="55" spans="1:140" x14ac:dyDescent="0.35">
      <c r="A55" t="s">
        <v>115</v>
      </c>
      <c r="B55">
        <v>779</v>
      </c>
      <c r="C55">
        <v>532</v>
      </c>
      <c r="D55">
        <v>86</v>
      </c>
      <c r="E55">
        <v>290</v>
      </c>
      <c r="F55">
        <v>534</v>
      </c>
      <c r="G55">
        <v>505</v>
      </c>
      <c r="H55">
        <v>249</v>
      </c>
      <c r="I55">
        <v>503</v>
      </c>
      <c r="J55">
        <v>991</v>
      </c>
      <c r="K55">
        <v>705</v>
      </c>
      <c r="L55">
        <v>357</v>
      </c>
      <c r="M55">
        <v>112</v>
      </c>
      <c r="N55">
        <v>927</v>
      </c>
      <c r="O55">
        <v>582</v>
      </c>
      <c r="P55">
        <v>746</v>
      </c>
      <c r="Q55">
        <v>677</v>
      </c>
      <c r="R55">
        <v>405</v>
      </c>
      <c r="S55">
        <v>758</v>
      </c>
      <c r="T55">
        <v>412</v>
      </c>
      <c r="U55">
        <v>890</v>
      </c>
      <c r="V55">
        <v>944</v>
      </c>
      <c r="W55">
        <v>818</v>
      </c>
      <c r="X55">
        <v>293</v>
      </c>
      <c r="Y55">
        <v>575</v>
      </c>
      <c r="Z55">
        <v>10</v>
      </c>
      <c r="AA55">
        <v>294</v>
      </c>
      <c r="AB55">
        <v>593</v>
      </c>
      <c r="AC55">
        <v>380</v>
      </c>
      <c r="AD55">
        <v>133</v>
      </c>
      <c r="AE55">
        <v>886</v>
      </c>
      <c r="AF55">
        <v>956</v>
      </c>
      <c r="AG55">
        <v>886</v>
      </c>
      <c r="AH55">
        <v>506</v>
      </c>
      <c r="AI55">
        <v>581</v>
      </c>
      <c r="AJ55">
        <v>558</v>
      </c>
      <c r="AK55">
        <v>879</v>
      </c>
      <c r="AL55">
        <v>322</v>
      </c>
      <c r="AM55">
        <v>613</v>
      </c>
      <c r="AN55">
        <v>613</v>
      </c>
      <c r="AO55">
        <v>888</v>
      </c>
      <c r="AP55">
        <v>592</v>
      </c>
      <c r="AQ55">
        <v>192</v>
      </c>
      <c r="AR55">
        <v>249</v>
      </c>
      <c r="AS55">
        <v>293</v>
      </c>
      <c r="AT55">
        <v>283</v>
      </c>
      <c r="AU55">
        <v>156</v>
      </c>
      <c r="AV55">
        <v>336</v>
      </c>
      <c r="AW55">
        <v>192</v>
      </c>
      <c r="AX55">
        <v>226</v>
      </c>
      <c r="AY55">
        <v>634</v>
      </c>
      <c r="AZ55">
        <v>713</v>
      </c>
      <c r="BA55">
        <v>961</v>
      </c>
      <c r="BB55">
        <v>41</v>
      </c>
      <c r="BC55">
        <v>988</v>
      </c>
      <c r="BD55">
        <v>628</v>
      </c>
      <c r="BE55">
        <v>286</v>
      </c>
      <c r="BF55">
        <v>90</v>
      </c>
      <c r="BG55">
        <v>350</v>
      </c>
      <c r="BH55">
        <v>312</v>
      </c>
      <c r="BI55">
        <v>127</v>
      </c>
      <c r="BJ55">
        <v>862</v>
      </c>
      <c r="BK55">
        <v>433</v>
      </c>
      <c r="BL55">
        <v>311</v>
      </c>
      <c r="BM55">
        <v>795</v>
      </c>
      <c r="BN55">
        <v>94</v>
      </c>
      <c r="BO55">
        <v>249</v>
      </c>
      <c r="BP55">
        <v>293</v>
      </c>
      <c r="BQ55">
        <v>825</v>
      </c>
      <c r="BR55">
        <v>986</v>
      </c>
      <c r="BS55">
        <v>360</v>
      </c>
      <c r="BT55">
        <v>590</v>
      </c>
      <c r="BU55">
        <v>435</v>
      </c>
      <c r="BV55">
        <v>713</v>
      </c>
      <c r="BW55">
        <v>40</v>
      </c>
      <c r="BX55">
        <v>881</v>
      </c>
      <c r="BY55">
        <v>942</v>
      </c>
      <c r="BZ55">
        <v>910</v>
      </c>
      <c r="CA55">
        <v>663</v>
      </c>
      <c r="CB55">
        <v>815</v>
      </c>
      <c r="CC55">
        <v>523</v>
      </c>
      <c r="CD55">
        <v>901</v>
      </c>
      <c r="CE55">
        <v>500</v>
      </c>
      <c r="CF55">
        <v>637</v>
      </c>
      <c r="CG55">
        <v>972</v>
      </c>
      <c r="CH55">
        <v>294</v>
      </c>
      <c r="CI55">
        <v>815</v>
      </c>
      <c r="CJ55">
        <v>860</v>
      </c>
      <c r="CK55">
        <v>736</v>
      </c>
      <c r="CL55">
        <v>929</v>
      </c>
      <c r="CM55">
        <v>650</v>
      </c>
      <c r="CN55">
        <v>396</v>
      </c>
      <c r="CO55">
        <v>541</v>
      </c>
      <c r="CP55">
        <v>471</v>
      </c>
      <c r="CQ55">
        <v>370</v>
      </c>
      <c r="CR55">
        <v>727</v>
      </c>
      <c r="CS55">
        <v>639</v>
      </c>
      <c r="CT55">
        <v>626</v>
      </c>
      <c r="CU55">
        <v>955</v>
      </c>
      <c r="CV55">
        <v>31</v>
      </c>
      <c r="CW55">
        <v>250</v>
      </c>
      <c r="CX55" s="2">
        <f>$CW56 + CX56*$CW57</f>
        <v>843.38103192307483</v>
      </c>
      <c r="CY55">
        <f t="shared" ref="CY55:DG55" si="210">$CW56 + CY56*$CW57</f>
        <v>793.31755129710973</v>
      </c>
      <c r="CZ55">
        <f t="shared" si="210"/>
        <v>743.25407067114452</v>
      </c>
      <c r="DA55">
        <f t="shared" si="210"/>
        <v>693.19059004517953</v>
      </c>
      <c r="DB55">
        <f t="shared" si="210"/>
        <v>643.12710941921432</v>
      </c>
      <c r="DC55">
        <f t="shared" si="210"/>
        <v>593.06362879324922</v>
      </c>
      <c r="DD55">
        <f t="shared" si="210"/>
        <v>543.00014816728412</v>
      </c>
      <c r="DE55">
        <f t="shared" si="210"/>
        <v>492.93666754131903</v>
      </c>
      <c r="DF55">
        <f t="shared" si="210"/>
        <v>442.87318691535393</v>
      </c>
      <c r="DG55">
        <f t="shared" si="210"/>
        <v>392.80970628938883</v>
      </c>
      <c r="DI55">
        <f t="shared" ref="DI55:DR55" si="211">ABS(CX55-CX6)</f>
        <v>67.618968076925171</v>
      </c>
      <c r="DJ55">
        <f t="shared" si="211"/>
        <v>105.31755129710973</v>
      </c>
      <c r="DK55">
        <f t="shared" si="211"/>
        <v>66.254070671144518</v>
      </c>
      <c r="DL55">
        <f t="shared" si="211"/>
        <v>94.809409954820467</v>
      </c>
      <c r="DM55">
        <f t="shared" si="211"/>
        <v>6.872890580785679</v>
      </c>
      <c r="DN55">
        <f t="shared" si="211"/>
        <v>140.93637120675078</v>
      </c>
      <c r="DO55">
        <f t="shared" si="211"/>
        <v>1.4816728412370139E-4</v>
      </c>
      <c r="DP55">
        <f t="shared" si="211"/>
        <v>155.93666754131903</v>
      </c>
      <c r="DQ55">
        <f t="shared" si="211"/>
        <v>71.126813084646074</v>
      </c>
      <c r="DR55">
        <f t="shared" si="211"/>
        <v>266.80970628938883</v>
      </c>
      <c r="DS55" s="1">
        <f>SUM(DI55:DR55)</f>
        <v>975.68259687017439</v>
      </c>
      <c r="DU55" s="3">
        <v>4.2374390824291813E-2</v>
      </c>
      <c r="DV55" s="3">
        <v>0.34151091191739147</v>
      </c>
      <c r="DZ55">
        <f>ABS(CX55-CX$6)/MAX($B$6:$CW$6)</f>
        <v>6.8233065667936604E-2</v>
      </c>
      <c r="EA55">
        <f t="shared" ref="EA55" si="212">ABS(CY55-CY$6)/MAX($B$6:$CW$6)</f>
        <v>0.10627401745419751</v>
      </c>
      <c r="EB55">
        <f t="shared" ref="EB55" si="213">ABS(CZ55-CZ$6)/MAX($B$6:$CW$6)</f>
        <v>6.6855772624767426E-2</v>
      </c>
      <c r="EC55">
        <f t="shared" ref="EC55" si="214">ABS(DA55-DA$6)/MAX($B$6:$CW$6)</f>
        <v>9.5670443950373829E-2</v>
      </c>
      <c r="ED55">
        <f t="shared" ref="ED55" si="215">ABS(DB55-DB$6)/MAX($B$6:$CW$6)</f>
        <v>6.9353083559895853E-3</v>
      </c>
      <c r="EE55">
        <f t="shared" ref="EE55" si="216">ABS(DC55-DC$6)/MAX($B$6:$CW$6)</f>
        <v>0.14221631806937515</v>
      </c>
      <c r="EF55">
        <f t="shared" ref="EF55" si="217">ABS(DD55-DD$6)/MAX($B$6:$CW$6)</f>
        <v>1.4951290022573299E-7</v>
      </c>
      <c r="EG55">
        <f t="shared" ref="EG55" si="218">ABS(DE55-DE$6)/MAX($B$6:$CW$6)</f>
        <v>0.15735284312948439</v>
      </c>
      <c r="EH55">
        <f t="shared" ref="EH55" si="219">ABS(DF55-DF$6)/MAX($B$6:$CW$6)</f>
        <v>7.1772767996615611E-2</v>
      </c>
      <c r="EI55">
        <f t="shared" ref="EI55" si="220">ABS(DG55-DG$6)/MAX($B$6:$CW$6)</f>
        <v>0.26923280150291506</v>
      </c>
      <c r="EJ55" s="1">
        <f>SUM(DZ55:EI55)</f>
        <v>0.9845434882645554</v>
      </c>
    </row>
    <row r="56" spans="1:140" x14ac:dyDescent="0.35">
      <c r="A56" t="s">
        <v>138</v>
      </c>
      <c r="B56">
        <f>B55</f>
        <v>779</v>
      </c>
      <c r="C56">
        <f>$DU$55*C55 + (1-$DU$55)*(B56 + B57)</f>
        <v>532</v>
      </c>
      <c r="D56">
        <f t="shared" ref="D56:BO56" si="221">$DU$55*D55 + (1-$DU$55)*(C56 + C57)</f>
        <v>276.5674962259659</v>
      </c>
      <c r="E56">
        <f t="shared" si="221"/>
        <v>37.845402304591111</v>
      </c>
      <c r="F56">
        <f t="shared" si="221"/>
        <v>-176.77262787041226</v>
      </c>
      <c r="G56">
        <f t="shared" si="221"/>
        <v>-373.2393911828562</v>
      </c>
      <c r="H56">
        <f t="shared" si="221"/>
        <v>-559.51955863171349</v>
      </c>
      <c r="I56">
        <f t="shared" si="221"/>
        <v>-715.44277947862815</v>
      </c>
      <c r="J56">
        <f t="shared" si="221"/>
        <v>-826.44767457624835</v>
      </c>
      <c r="K56">
        <f t="shared" si="221"/>
        <v>-918.5670194799842</v>
      </c>
      <c r="L56">
        <f t="shared" si="221"/>
        <v>-998.03399849722803</v>
      </c>
      <c r="M56">
        <f t="shared" si="221"/>
        <v>-1064.9062121019635</v>
      </c>
      <c r="N56">
        <f t="shared" si="221"/>
        <v>-1077.3782451695047</v>
      </c>
      <c r="O56">
        <f t="shared" si="221"/>
        <v>-1074.9349555900483</v>
      </c>
      <c r="P56">
        <f t="shared" si="221"/>
        <v>-1041.6677680768701</v>
      </c>
      <c r="Q56">
        <f t="shared" si="221"/>
        <v>-986.86418363730661</v>
      </c>
      <c r="R56">
        <f t="shared" si="221"/>
        <v>-921.83039620687623</v>
      </c>
      <c r="S56">
        <f t="shared" si="221"/>
        <v>-825.39323286799572</v>
      </c>
      <c r="T56">
        <f t="shared" si="221"/>
        <v>-724.79028962893176</v>
      </c>
      <c r="U56">
        <f t="shared" si="221"/>
        <v>-591.74452353485003</v>
      </c>
      <c r="V56">
        <f t="shared" si="221"/>
        <v>-440.6054791319404</v>
      </c>
      <c r="W56">
        <f t="shared" si="221"/>
        <v>-281.17296830521519</v>
      </c>
      <c r="X56">
        <f t="shared" si="221"/>
        <v>-134.83638788523257</v>
      </c>
      <c r="Y56">
        <f t="shared" si="221"/>
        <v>23.440203226644808</v>
      </c>
      <c r="Z56">
        <f t="shared" si="221"/>
        <v>159.05018597480978</v>
      </c>
      <c r="AA56">
        <f t="shared" si="221"/>
        <v>298.79115284028455</v>
      </c>
      <c r="AB56">
        <f t="shared" si="221"/>
        <v>445.21128992726074</v>
      </c>
      <c r="AC56">
        <f t="shared" si="221"/>
        <v>578.53991490585531</v>
      </c>
      <c r="AD56">
        <f t="shared" si="221"/>
        <v>692.87921207150055</v>
      </c>
      <c r="AE56">
        <f t="shared" si="221"/>
        <v>826.17917798623614</v>
      </c>
      <c r="AF56">
        <f t="shared" si="221"/>
        <v>957.66253247586553</v>
      </c>
      <c r="AG56">
        <f t="shared" si="221"/>
        <v>1080.5840935235265</v>
      </c>
      <c r="AH56">
        <f t="shared" si="221"/>
        <v>1179.3787717175851</v>
      </c>
      <c r="AI56">
        <f t="shared" si="221"/>
        <v>1267.4204873511405</v>
      </c>
      <c r="AJ56">
        <f t="shared" si="221"/>
        <v>1340.8234695622382</v>
      </c>
      <c r="AK56">
        <f t="shared" si="221"/>
        <v>1413.3897381045624</v>
      </c>
      <c r="AL56">
        <f t="shared" si="221"/>
        <v>1451.5451963111291</v>
      </c>
      <c r="AM56">
        <f t="shared" si="221"/>
        <v>1484.0687815145739</v>
      </c>
      <c r="AN56">
        <f t="shared" si="221"/>
        <v>1502.6086872701148</v>
      </c>
      <c r="AO56">
        <f t="shared" si="221"/>
        <v>1519.1421241019179</v>
      </c>
      <c r="AP56">
        <f t="shared" si="221"/>
        <v>1513.2986892790086</v>
      </c>
      <c r="AQ56">
        <f t="shared" si="221"/>
        <v>1477.4207048691153</v>
      </c>
      <c r="AR56">
        <f t="shared" si="221"/>
        <v>1426.8766381608502</v>
      </c>
      <c r="AS56">
        <f t="shared" si="221"/>
        <v>1363.2933926415951</v>
      </c>
      <c r="AT56">
        <f t="shared" si="221"/>
        <v>1286.4921496997158</v>
      </c>
      <c r="AU56">
        <f t="shared" si="221"/>
        <v>1193.0419121502141</v>
      </c>
      <c r="AV56">
        <f t="shared" si="221"/>
        <v>1096.1715997377401</v>
      </c>
      <c r="AW56">
        <f t="shared" si="221"/>
        <v>986.30351144204428</v>
      </c>
      <c r="AX56">
        <f t="shared" si="221"/>
        <v>871.03712795592367</v>
      </c>
      <c r="AY56">
        <f t="shared" si="221"/>
        <v>768.60930204867907</v>
      </c>
      <c r="AZ56">
        <f t="shared" si="221"/>
        <v>671.92139588160978</v>
      </c>
      <c r="BA56">
        <f t="shared" si="221"/>
        <v>590.4338912589202</v>
      </c>
      <c r="BB56">
        <f t="shared" si="221"/>
        <v>478.77751002039395</v>
      </c>
      <c r="BC56">
        <f t="shared" si="221"/>
        <v>405.64583097076252</v>
      </c>
      <c r="BD56">
        <f t="shared" si="221"/>
        <v>328.78571327437959</v>
      </c>
      <c r="BE56">
        <f t="shared" si="221"/>
        <v>245.02047933211216</v>
      </c>
      <c r="BF56">
        <f t="shared" si="221"/>
        <v>157.09239317688375</v>
      </c>
      <c r="BG56">
        <f t="shared" si="221"/>
        <v>82.936632443099882</v>
      </c>
      <c r="BH56">
        <f t="shared" si="221"/>
        <v>14.177708656769898</v>
      </c>
      <c r="BI56">
        <f t="shared" si="221"/>
        <v>-55.19697917915429</v>
      </c>
      <c r="BJ56">
        <f t="shared" si="221"/>
        <v>-87.850149408309136</v>
      </c>
      <c r="BK56">
        <f t="shared" si="221"/>
        <v>-123.55269262980525</v>
      </c>
      <c r="BL56">
        <f t="shared" si="221"/>
        <v>-154.85798765190285</v>
      </c>
      <c r="BM56">
        <f t="shared" si="221"/>
        <v>-157.58595616139925</v>
      </c>
      <c r="BN56">
        <f t="shared" si="221"/>
        <v>-176.11760343423813</v>
      </c>
      <c r="BO56">
        <f t="shared" si="221"/>
        <v>-183.38699543846087</v>
      </c>
      <c r="BP56">
        <f t="shared" ref="BP56:CW56" si="222">$DU$55*BP55 + (1-$DU$55)*(BO56 + BO57)</f>
        <v>-182.22666897474821</v>
      </c>
      <c r="BQ56">
        <f t="shared" si="222"/>
        <v>-151.69517901615004</v>
      </c>
      <c r="BR56">
        <f t="shared" si="222"/>
        <v>-101.50110001909113</v>
      </c>
      <c r="BS56">
        <f t="shared" si="222"/>
        <v>-64.222760202872564</v>
      </c>
      <c r="BT56">
        <f t="shared" si="222"/>
        <v>-12.638895458846747</v>
      </c>
      <c r="BU56">
        <f t="shared" si="222"/>
        <v>38.912082266256974</v>
      </c>
      <c r="BV56">
        <f t="shared" si="222"/>
        <v>105.79061312192761</v>
      </c>
      <c r="BW56">
        <f t="shared" si="222"/>
        <v>150.10436138184966</v>
      </c>
      <c r="BX56">
        <f t="shared" si="222"/>
        <v>226.58384913696375</v>
      </c>
      <c r="BY56">
        <f t="shared" si="222"/>
        <v>311.87766650061565</v>
      </c>
      <c r="BZ56">
        <f t="shared" si="222"/>
        <v>401.31992974983746</v>
      </c>
      <c r="CA56">
        <f t="shared" si="222"/>
        <v>483.86692751939211</v>
      </c>
      <c r="CB56">
        <f t="shared" si="222"/>
        <v>571.94924539998146</v>
      </c>
      <c r="CC56">
        <f t="shared" si="222"/>
        <v>647.44307107831514</v>
      </c>
      <c r="CD56">
        <f t="shared" si="222"/>
        <v>733.95455650246288</v>
      </c>
      <c r="CE56">
        <f t="shared" si="222"/>
        <v>802.22540725351053</v>
      </c>
      <c r="CF56">
        <f t="shared" si="222"/>
        <v>869.03501420665896</v>
      </c>
      <c r="CG56">
        <f t="shared" si="222"/>
        <v>943.85117347867151</v>
      </c>
      <c r="CH56">
        <f t="shared" si="222"/>
        <v>987.17455718646136</v>
      </c>
      <c r="CI56">
        <f t="shared" si="222"/>
        <v>1040.7080478696114</v>
      </c>
      <c r="CJ56">
        <f t="shared" si="222"/>
        <v>1090.6136444066121</v>
      </c>
      <c r="CK56">
        <f t="shared" si="222"/>
        <v>1129.8128141107395</v>
      </c>
      <c r="CL56">
        <f t="shared" si="222"/>
        <v>1169.8302102934135</v>
      </c>
      <c r="CM56">
        <f t="shared" si="222"/>
        <v>1192.8443083697214</v>
      </c>
      <c r="CN56">
        <f t="shared" si="222"/>
        <v>1196.2644308023932</v>
      </c>
      <c r="CO56">
        <f t="shared" si="222"/>
        <v>1194.1030341561532</v>
      </c>
      <c r="CP56">
        <f t="shared" si="222"/>
        <v>1179.6157570739233</v>
      </c>
      <c r="CQ56">
        <f t="shared" si="222"/>
        <v>1151.2079529123193</v>
      </c>
      <c r="CR56">
        <f t="shared" si="222"/>
        <v>1127.826461856823</v>
      </c>
      <c r="CS56">
        <f t="shared" si="222"/>
        <v>1095.9063141164938</v>
      </c>
      <c r="CT56">
        <f t="shared" si="222"/>
        <v>1058.1758600675485</v>
      </c>
      <c r="CU56">
        <f t="shared" si="222"/>
        <v>1029.7312317986696</v>
      </c>
      <c r="CV56">
        <f t="shared" si="222"/>
        <v>962.25653086913746</v>
      </c>
      <c r="CW56">
        <f t="shared" si="222"/>
        <v>893.44451254903993</v>
      </c>
      <c r="CX56" s="2">
        <v>1</v>
      </c>
      <c r="CY56">
        <v>2</v>
      </c>
      <c r="CZ56">
        <v>3</v>
      </c>
      <c r="DA56">
        <v>4</v>
      </c>
      <c r="DB56">
        <v>5</v>
      </c>
      <c r="DC56">
        <v>6</v>
      </c>
      <c r="DD56">
        <v>7</v>
      </c>
      <c r="DE56">
        <v>8</v>
      </c>
      <c r="DF56">
        <v>9</v>
      </c>
      <c r="DG56">
        <v>10</v>
      </c>
    </row>
    <row r="57" spans="1:140" x14ac:dyDescent="0.35">
      <c r="A57" t="s">
        <v>139</v>
      </c>
      <c r="B57">
        <f>C55 - B55</f>
        <v>-247</v>
      </c>
      <c r="C57">
        <f>$DV$55*(C56 - B56) + (1-$DV$55)*B57</f>
        <v>-247</v>
      </c>
      <c r="D57">
        <f t="shared" ref="D57:BO57" si="223">$DV$55*(D56 - C56) + (1-$DV$55)*C57</f>
        <v>-249.87979205361722</v>
      </c>
      <c r="E57">
        <f t="shared" si="223"/>
        <v>-246.06931638957613</v>
      </c>
      <c r="F57">
        <f t="shared" si="223"/>
        <v>-235.3283589534625</v>
      </c>
      <c r="G57">
        <f t="shared" si="223"/>
        <v>-222.05669998753331</v>
      </c>
      <c r="H57">
        <f t="shared" si="223"/>
        <v>-209.83862373500781</v>
      </c>
      <c r="I57">
        <f t="shared" si="223"/>
        <v>-191.42592532830156</v>
      </c>
      <c r="J57">
        <f t="shared" si="223"/>
        <v>-163.96126595688546</v>
      </c>
      <c r="K57">
        <f t="shared" si="223"/>
        <v>-139.42646598412708</v>
      </c>
      <c r="L57">
        <f t="shared" si="223"/>
        <v>-118.94964691196783</v>
      </c>
      <c r="M57">
        <f t="shared" si="223"/>
        <v>-101.16463517289779</v>
      </c>
      <c r="N57">
        <f t="shared" si="223"/>
        <v>-70.875143747571087</v>
      </c>
      <c r="O57">
        <f t="shared" si="223"/>
        <v>-45.836098721703465</v>
      </c>
      <c r="P57">
        <f t="shared" si="223"/>
        <v>-18.821463303966581</v>
      </c>
      <c r="Q57">
        <f t="shared" si="223"/>
        <v>6.3222938908878437</v>
      </c>
      <c r="R57">
        <f t="shared" si="223"/>
        <v>26.372909589609051</v>
      </c>
      <c r="S57">
        <f t="shared" si="223"/>
        <v>50.300616780334266</v>
      </c>
      <c r="T57">
        <f t="shared" si="223"/>
        <v>67.479410160821374</v>
      </c>
      <c r="U57">
        <f t="shared" si="223"/>
        <v>89.871036166689393</v>
      </c>
      <c r="V57">
        <f t="shared" si="223"/>
        <v>110.79472953080322</v>
      </c>
      <c r="W57">
        <f t="shared" si="223"/>
        <v>127.40506257481218</v>
      </c>
      <c r="X57">
        <f t="shared" si="223"/>
        <v>133.87038249809672</v>
      </c>
      <c r="Y57">
        <f t="shared" si="223"/>
        <v>142.20536905823505</v>
      </c>
      <c r="Z57">
        <f t="shared" si="223"/>
        <v>139.95297266503553</v>
      </c>
      <c r="AA57">
        <f t="shared" si="223"/>
        <v>139.88057037109576</v>
      </c>
      <c r="AB57">
        <f t="shared" si="223"/>
        <v>142.11390376378071</v>
      </c>
      <c r="AC57">
        <f t="shared" si="223"/>
        <v>139.11363519440329</v>
      </c>
      <c r="AD57">
        <f t="shared" si="223"/>
        <v>130.65292842205241</v>
      </c>
      <c r="AE57">
        <f t="shared" si="223"/>
        <v>131.55692061005817</v>
      </c>
      <c r="AF57">
        <f t="shared" si="223"/>
        <v>131.53179697718431</v>
      </c>
      <c r="AG57">
        <f t="shared" si="223"/>
        <v>128.59130745306891</v>
      </c>
      <c r="AH57">
        <f t="shared" si="223"/>
        <v>118.41543342275988</v>
      </c>
      <c r="AI57">
        <f t="shared" si="223"/>
        <v>108.04247736224718</v>
      </c>
      <c r="AJ57">
        <f t="shared" si="223"/>
        <v>96.212711784820044</v>
      </c>
      <c r="AK57">
        <f t="shared" si="223"/>
        <v>88.137193389472458</v>
      </c>
      <c r="AL57">
        <f t="shared" si="223"/>
        <v>71.067885427944731</v>
      </c>
      <c r="AM57">
        <f t="shared" si="223"/>
        <v>57.90458630905804</v>
      </c>
      <c r="AN57">
        <f t="shared" si="223"/>
        <v>44.461118355889624</v>
      </c>
      <c r="AO57">
        <f t="shared" si="223"/>
        <v>34.923510370860349</v>
      </c>
      <c r="AP57">
        <f t="shared" si="223"/>
        <v>21.001153741649748</v>
      </c>
      <c r="AQ57">
        <f t="shared" si="223"/>
        <v>1.5763074024409853</v>
      </c>
      <c r="AR57">
        <f t="shared" si="223"/>
        <v>-16.223369089581841</v>
      </c>
      <c r="AS57">
        <f t="shared" si="223"/>
        <v>-32.397283677374531</v>
      </c>
      <c r="AT57">
        <f t="shared" si="223"/>
        <v>-47.561720298538262</v>
      </c>
      <c r="AU57">
        <f t="shared" si="223"/>
        <v>-63.233149671451741</v>
      </c>
      <c r="AV57">
        <f t="shared" si="223"/>
        <v>-74.720607793451975</v>
      </c>
      <c r="AW57">
        <f t="shared" si="223"/>
        <v>-86.723855911371984</v>
      </c>
      <c r="AX57">
        <f t="shared" si="223"/>
        <v>-96.47144053185167</v>
      </c>
      <c r="AY57">
        <f t="shared" si="223"/>
        <v>-98.505611133133527</v>
      </c>
      <c r="AZ57">
        <f t="shared" si="223"/>
        <v>-97.884845052576154</v>
      </c>
      <c r="BA57">
        <f t="shared" si="223"/>
        <v>-92.28497436934569</v>
      </c>
      <c r="BB57">
        <f t="shared" si="223"/>
        <v>-98.900521194362369</v>
      </c>
      <c r="BC57">
        <f t="shared" si="223"/>
        <v>-90.100180414459999</v>
      </c>
      <c r="BD57">
        <f t="shared" si="223"/>
        <v>-85.578554521766051</v>
      </c>
      <c r="BE57">
        <f t="shared" si="223"/>
        <v>-84.959285757062901</v>
      </c>
      <c r="BF57">
        <f t="shared" si="223"/>
        <v>-85.973163488341115</v>
      </c>
      <c r="BG57">
        <f t="shared" si="223"/>
        <v>-81.93739149713717</v>
      </c>
      <c r="BH57">
        <f t="shared" si="223"/>
        <v>-77.436800971545509</v>
      </c>
      <c r="BI57">
        <f t="shared" si="223"/>
        <v>-74.683501362618287</v>
      </c>
      <c r="BJ57">
        <f t="shared" si="223"/>
        <v>-60.329684649039258</v>
      </c>
      <c r="BK57">
        <f t="shared" si="223"/>
        <v>-51.919247122200431</v>
      </c>
      <c r="BL57">
        <f t="shared" si="223"/>
        <v>-44.879357542272885</v>
      </c>
      <c r="BM57">
        <f t="shared" si="223"/>
        <v>-30.484198235104657</v>
      </c>
      <c r="BN57">
        <f t="shared" si="223"/>
        <v>-26.402271656242178</v>
      </c>
      <c r="BO57">
        <f t="shared" si="223"/>
        <v>-19.868184478675314</v>
      </c>
      <c r="BP57">
        <f t="shared" ref="BP57:CW57" si="224">$DV$55*(BP56 - BO56) + (1-$DV$55)*BO57</f>
        <v>-12.686718530475551</v>
      </c>
      <c r="BQ57">
        <f t="shared" si="224"/>
        <v>2.0727712620639664</v>
      </c>
      <c r="BR57">
        <f t="shared" si="224"/>
        <v>18.506722949299515</v>
      </c>
      <c r="BS57">
        <f t="shared" si="224"/>
        <v>24.917434943684924</v>
      </c>
      <c r="BT57">
        <f t="shared" si="224"/>
        <v>34.024311702380444</v>
      </c>
      <c r="BU57">
        <f t="shared" si="224"/>
        <v>40.009859398672234</v>
      </c>
      <c r="BV57">
        <f t="shared" si="224"/>
        <v>49.185803889960539</v>
      </c>
      <c r="BW57">
        <f t="shared" si="224"/>
        <v>47.521943728833833</v>
      </c>
      <c r="BX57">
        <f t="shared" si="224"/>
        <v>57.411260996136818</v>
      </c>
      <c r="BY57">
        <f t="shared" si="224"/>
        <v>66.93345824779496</v>
      </c>
      <c r="BZ57">
        <f t="shared" si="224"/>
        <v>74.620460770002992</v>
      </c>
      <c r="CA57">
        <f t="shared" si="224"/>
        <v>77.327459649066824</v>
      </c>
      <c r="CB57">
        <f t="shared" si="224"/>
        <v>81.000361091256352</v>
      </c>
      <c r="CC57">
        <f t="shared" si="224"/>
        <v>79.119819160883722</v>
      </c>
      <c r="CD57">
        <f t="shared" si="224"/>
        <v>81.64415384704003</v>
      </c>
      <c r="CE57">
        <f t="shared" si="224"/>
        <v>77.077024911379993</v>
      </c>
      <c r="CF57">
        <f t="shared" si="224"/>
        <v>73.570589641427333</v>
      </c>
      <c r="CG57">
        <f t="shared" si="224"/>
        <v>73.995965261825106</v>
      </c>
      <c r="CH57">
        <f t="shared" si="224"/>
        <v>63.520943964445962</v>
      </c>
      <c r="CI57">
        <f t="shared" si="224"/>
        <v>60.110119686618248</v>
      </c>
      <c r="CJ57">
        <f t="shared" si="224"/>
        <v>56.625163680110241</v>
      </c>
      <c r="CK57">
        <f t="shared" si="224"/>
        <v>50.673996586305357</v>
      </c>
      <c r="CL57">
        <f t="shared" si="224"/>
        <v>47.034651264521983</v>
      </c>
      <c r="CM57">
        <f t="shared" si="224"/>
        <v>38.831370240454767</v>
      </c>
      <c r="CN57">
        <f t="shared" si="224"/>
        <v>26.738042709486098</v>
      </c>
      <c r="CO57">
        <f t="shared" si="224"/>
        <v>16.868568821210705</v>
      </c>
      <c r="CP57">
        <f t="shared" si="224"/>
        <v>6.1602052927855109</v>
      </c>
      <c r="CQ57">
        <f t="shared" si="224"/>
        <v>-5.6451471391520478</v>
      </c>
      <c r="CR57">
        <f t="shared" si="224"/>
        <v>-11.702302124103261</v>
      </c>
      <c r="CS57">
        <f t="shared" si="224"/>
        <v>-18.606917017505612</v>
      </c>
      <c r="CT57">
        <f t="shared" si="224"/>
        <v>-25.137813588198611</v>
      </c>
      <c r="CU57">
        <f t="shared" si="224"/>
        <v>-26.26712688533955</v>
      </c>
      <c r="CV57">
        <f t="shared" si="224"/>
        <v>-40.339963075075183</v>
      </c>
      <c r="CW57">
        <f t="shared" si="224"/>
        <v>-50.063480625965113</v>
      </c>
    </row>
    <row r="60" spans="1:140" x14ac:dyDescent="0.35">
      <c r="CX60" s="2" t="s">
        <v>141</v>
      </c>
    </row>
    <row r="61" spans="1:140" x14ac:dyDescent="0.3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7</v>
      </c>
      <c r="I61" t="s">
        <v>8</v>
      </c>
      <c r="J61" t="s">
        <v>9</v>
      </c>
      <c r="K61" t="s">
        <v>10</v>
      </c>
      <c r="L61" t="s">
        <v>11</v>
      </c>
      <c r="M61" t="s">
        <v>12</v>
      </c>
      <c r="N61" t="s">
        <v>13</v>
      </c>
      <c r="O61" t="s">
        <v>14</v>
      </c>
      <c r="P61" t="s">
        <v>15</v>
      </c>
      <c r="Q61" t="s">
        <v>16</v>
      </c>
      <c r="R61" t="s">
        <v>17</v>
      </c>
      <c r="S61" t="s">
        <v>18</v>
      </c>
      <c r="T61" t="s">
        <v>19</v>
      </c>
      <c r="U61" t="s">
        <v>20</v>
      </c>
      <c r="V61" t="s">
        <v>21</v>
      </c>
      <c r="W61" t="s">
        <v>22</v>
      </c>
      <c r="X61" t="s">
        <v>23</v>
      </c>
      <c r="Y61" t="s">
        <v>24</v>
      </c>
      <c r="Z61" t="s">
        <v>25</v>
      </c>
      <c r="AA61" t="s">
        <v>26</v>
      </c>
      <c r="AB61" t="s">
        <v>27</v>
      </c>
      <c r="AC61" t="s">
        <v>28</v>
      </c>
      <c r="AD61" t="s">
        <v>29</v>
      </c>
      <c r="AE61" t="s">
        <v>30</v>
      </c>
      <c r="AF61" t="s">
        <v>31</v>
      </c>
      <c r="AG61" t="s">
        <v>32</v>
      </c>
      <c r="AH61" t="s">
        <v>33</v>
      </c>
      <c r="AI61" t="s">
        <v>34</v>
      </c>
      <c r="AJ61" t="s">
        <v>35</v>
      </c>
      <c r="AK61" t="s">
        <v>36</v>
      </c>
      <c r="AL61" t="s">
        <v>37</v>
      </c>
      <c r="AM61" t="s">
        <v>38</v>
      </c>
      <c r="AN61" t="s">
        <v>39</v>
      </c>
      <c r="AO61" t="s">
        <v>40</v>
      </c>
      <c r="AP61" t="s">
        <v>41</v>
      </c>
      <c r="AQ61" t="s">
        <v>42</v>
      </c>
      <c r="AR61" t="s">
        <v>43</v>
      </c>
      <c r="AS61" t="s">
        <v>44</v>
      </c>
      <c r="AT61" t="s">
        <v>45</v>
      </c>
      <c r="AU61" t="s">
        <v>46</v>
      </c>
      <c r="AV61" t="s">
        <v>47</v>
      </c>
      <c r="AW61" t="s">
        <v>48</v>
      </c>
      <c r="AX61" t="s">
        <v>49</v>
      </c>
      <c r="AY61" t="s">
        <v>50</v>
      </c>
      <c r="AZ61" t="s">
        <v>51</v>
      </c>
      <c r="BA61" t="s">
        <v>52</v>
      </c>
      <c r="BB61" t="s">
        <v>53</v>
      </c>
      <c r="BC61" t="s">
        <v>54</v>
      </c>
      <c r="BD61" t="s">
        <v>55</v>
      </c>
      <c r="BE61" t="s">
        <v>56</v>
      </c>
      <c r="BF61" t="s">
        <v>57</v>
      </c>
      <c r="BG61" t="s">
        <v>58</v>
      </c>
      <c r="BH61" t="s">
        <v>59</v>
      </c>
      <c r="BI61" t="s">
        <v>60</v>
      </c>
      <c r="BJ61" t="s">
        <v>61</v>
      </c>
      <c r="BK61" t="s">
        <v>62</v>
      </c>
      <c r="BL61" t="s">
        <v>63</v>
      </c>
      <c r="BM61" t="s">
        <v>64</v>
      </c>
      <c r="BN61" t="s">
        <v>65</v>
      </c>
      <c r="BO61" t="s">
        <v>66</v>
      </c>
      <c r="BP61" t="s">
        <v>67</v>
      </c>
      <c r="BQ61" t="s">
        <v>68</v>
      </c>
      <c r="BR61" t="s">
        <v>69</v>
      </c>
      <c r="BS61" t="s">
        <v>70</v>
      </c>
      <c r="BT61" t="s">
        <v>71</v>
      </c>
      <c r="BU61" t="s">
        <v>72</v>
      </c>
      <c r="BV61" t="s">
        <v>73</v>
      </c>
      <c r="BW61" t="s">
        <v>74</v>
      </c>
      <c r="BX61" t="s">
        <v>75</v>
      </c>
      <c r="BY61" t="s">
        <v>76</v>
      </c>
      <c r="BZ61" t="s">
        <v>77</v>
      </c>
      <c r="CA61" t="s">
        <v>78</v>
      </c>
      <c r="CB61" t="s">
        <v>79</v>
      </c>
      <c r="CC61" t="s">
        <v>80</v>
      </c>
      <c r="CD61" t="s">
        <v>81</v>
      </c>
      <c r="CE61" t="s">
        <v>82</v>
      </c>
      <c r="CF61" t="s">
        <v>83</v>
      </c>
      <c r="CG61" t="s">
        <v>84</v>
      </c>
      <c r="CH61" t="s">
        <v>85</v>
      </c>
      <c r="CI61" t="s">
        <v>86</v>
      </c>
      <c r="CJ61" t="s">
        <v>87</v>
      </c>
      <c r="CK61" t="s">
        <v>88</v>
      </c>
      <c r="CL61" t="s">
        <v>89</v>
      </c>
      <c r="CM61" t="s">
        <v>90</v>
      </c>
      <c r="CN61" t="s">
        <v>91</v>
      </c>
      <c r="CO61" t="s">
        <v>92</v>
      </c>
      <c r="CP61" t="s">
        <v>93</v>
      </c>
      <c r="CQ61" t="s">
        <v>94</v>
      </c>
      <c r="CR61" t="s">
        <v>95</v>
      </c>
      <c r="CS61" t="s">
        <v>96</v>
      </c>
      <c r="CT61" t="s">
        <v>97</v>
      </c>
      <c r="CU61" t="s">
        <v>98</v>
      </c>
      <c r="CV61" t="s">
        <v>99</v>
      </c>
      <c r="CW61" t="s">
        <v>100</v>
      </c>
      <c r="CX61" s="2" t="s">
        <v>101</v>
      </c>
      <c r="CY61" t="s">
        <v>102</v>
      </c>
      <c r="CZ61" t="s">
        <v>103</v>
      </c>
      <c r="DA61" t="s">
        <v>104</v>
      </c>
      <c r="DB61" t="s">
        <v>105</v>
      </c>
      <c r="DC61" t="s">
        <v>106</v>
      </c>
      <c r="DD61" t="s">
        <v>107</v>
      </c>
      <c r="DE61" t="s">
        <v>108</v>
      </c>
      <c r="DF61" t="s">
        <v>109</v>
      </c>
      <c r="DG61" t="s">
        <v>110</v>
      </c>
      <c r="DH61" t="s">
        <v>119</v>
      </c>
      <c r="DI61" t="s">
        <v>101</v>
      </c>
      <c r="DJ61" t="s">
        <v>102</v>
      </c>
      <c r="DK61" t="s">
        <v>103</v>
      </c>
      <c r="DL61" t="s">
        <v>104</v>
      </c>
      <c r="DM61" t="s">
        <v>105</v>
      </c>
      <c r="DN61" t="s">
        <v>106</v>
      </c>
      <c r="DO61" t="s">
        <v>107</v>
      </c>
      <c r="DP61" t="s">
        <v>108</v>
      </c>
      <c r="DQ61" t="s">
        <v>109</v>
      </c>
      <c r="DR61" t="s">
        <v>110</v>
      </c>
      <c r="DS61" s="1" t="s">
        <v>120</v>
      </c>
      <c r="DU61" t="s">
        <v>154</v>
      </c>
      <c r="DV61" t="s">
        <v>155</v>
      </c>
      <c r="DW61" t="s">
        <v>156</v>
      </c>
      <c r="DZ61" t="s">
        <v>101</v>
      </c>
      <c r="EA61" t="s">
        <v>102</v>
      </c>
      <c r="EB61" t="s">
        <v>103</v>
      </c>
      <c r="EC61" t="s">
        <v>104</v>
      </c>
      <c r="ED61" t="s">
        <v>105</v>
      </c>
      <c r="EE61" t="s">
        <v>106</v>
      </c>
      <c r="EF61" t="s">
        <v>107</v>
      </c>
      <c r="EG61" t="s">
        <v>108</v>
      </c>
      <c r="EH61" t="s">
        <v>109</v>
      </c>
      <c r="EI61" t="s">
        <v>110</v>
      </c>
      <c r="EJ61" s="1" t="s">
        <v>120</v>
      </c>
    </row>
    <row r="62" spans="1:140" x14ac:dyDescent="0.35">
      <c r="A62" t="s">
        <v>111</v>
      </c>
      <c r="B62">
        <v>3</v>
      </c>
      <c r="C62">
        <v>12</v>
      </c>
      <c r="D62">
        <v>41</v>
      </c>
      <c r="E62">
        <v>2</v>
      </c>
      <c r="F62">
        <v>31</v>
      </c>
      <c r="G62">
        <v>2</v>
      </c>
      <c r="H62">
        <v>43</v>
      </c>
      <c r="I62">
        <v>43</v>
      </c>
      <c r="J62">
        <v>22</v>
      </c>
      <c r="K62">
        <v>32</v>
      </c>
      <c r="L62">
        <v>3</v>
      </c>
      <c r="M62">
        <v>12</v>
      </c>
      <c r="N62">
        <v>41</v>
      </c>
      <c r="O62">
        <v>2</v>
      </c>
      <c r="P62">
        <v>31</v>
      </c>
      <c r="Q62">
        <v>2</v>
      </c>
      <c r="R62">
        <v>43</v>
      </c>
      <c r="S62">
        <v>43</v>
      </c>
      <c r="T62">
        <v>22</v>
      </c>
      <c r="U62">
        <v>32</v>
      </c>
      <c r="V62">
        <v>3</v>
      </c>
      <c r="W62">
        <v>12</v>
      </c>
      <c r="X62">
        <v>41</v>
      </c>
      <c r="Y62">
        <v>2</v>
      </c>
      <c r="Z62">
        <v>31</v>
      </c>
      <c r="AA62">
        <v>2</v>
      </c>
      <c r="AB62">
        <v>43</v>
      </c>
      <c r="AC62">
        <v>43</v>
      </c>
      <c r="AD62">
        <v>22</v>
      </c>
      <c r="AE62">
        <v>32</v>
      </c>
      <c r="AF62">
        <v>3</v>
      </c>
      <c r="AG62">
        <v>12</v>
      </c>
      <c r="AH62">
        <v>41</v>
      </c>
      <c r="AI62">
        <v>2</v>
      </c>
      <c r="AJ62">
        <v>31</v>
      </c>
      <c r="AK62">
        <v>2</v>
      </c>
      <c r="AL62">
        <v>43</v>
      </c>
      <c r="AM62">
        <v>43</v>
      </c>
      <c r="AN62">
        <v>22</v>
      </c>
      <c r="AO62">
        <v>32</v>
      </c>
      <c r="AP62">
        <v>3</v>
      </c>
      <c r="AQ62">
        <v>12</v>
      </c>
      <c r="AR62">
        <v>41</v>
      </c>
      <c r="AS62">
        <v>2</v>
      </c>
      <c r="AT62">
        <v>31</v>
      </c>
      <c r="AU62">
        <v>2</v>
      </c>
      <c r="AV62">
        <v>43</v>
      </c>
      <c r="AW62">
        <v>43</v>
      </c>
      <c r="AX62">
        <v>22</v>
      </c>
      <c r="AY62">
        <v>32</v>
      </c>
      <c r="AZ62">
        <v>3</v>
      </c>
      <c r="BA62">
        <v>12</v>
      </c>
      <c r="BB62">
        <v>41</v>
      </c>
      <c r="BC62">
        <v>2</v>
      </c>
      <c r="BD62">
        <v>31</v>
      </c>
      <c r="BE62">
        <v>2</v>
      </c>
      <c r="BF62">
        <v>43</v>
      </c>
      <c r="BG62">
        <v>43</v>
      </c>
      <c r="BH62">
        <v>22</v>
      </c>
      <c r="BI62">
        <v>32</v>
      </c>
      <c r="BJ62">
        <v>3</v>
      </c>
      <c r="BK62">
        <v>12</v>
      </c>
      <c r="BL62">
        <v>41</v>
      </c>
      <c r="BM62">
        <v>2</v>
      </c>
      <c r="BN62">
        <v>31</v>
      </c>
      <c r="BO62">
        <v>2</v>
      </c>
      <c r="BP62">
        <v>43</v>
      </c>
      <c r="BQ62">
        <v>43</v>
      </c>
      <c r="BR62">
        <v>22</v>
      </c>
      <c r="BS62">
        <v>32</v>
      </c>
      <c r="BT62">
        <v>3</v>
      </c>
      <c r="BU62">
        <v>12</v>
      </c>
      <c r="BV62">
        <v>41</v>
      </c>
      <c r="BW62">
        <v>2</v>
      </c>
      <c r="BX62">
        <v>31</v>
      </c>
      <c r="BY62">
        <v>2</v>
      </c>
      <c r="BZ62">
        <v>43</v>
      </c>
      <c r="CA62">
        <v>43</v>
      </c>
      <c r="CB62">
        <v>22</v>
      </c>
      <c r="CC62">
        <v>32</v>
      </c>
      <c r="CD62">
        <v>3</v>
      </c>
      <c r="CE62">
        <v>12</v>
      </c>
      <c r="CF62">
        <v>41</v>
      </c>
      <c r="CG62">
        <v>2</v>
      </c>
      <c r="CH62">
        <v>31</v>
      </c>
      <c r="CI62">
        <v>2</v>
      </c>
      <c r="CJ62">
        <v>43</v>
      </c>
      <c r="CK62">
        <v>43</v>
      </c>
      <c r="CL62">
        <v>22</v>
      </c>
      <c r="CM62">
        <v>32</v>
      </c>
      <c r="CN62">
        <v>3</v>
      </c>
      <c r="CO62">
        <v>12</v>
      </c>
      <c r="CP62">
        <v>41</v>
      </c>
      <c r="CQ62">
        <v>2</v>
      </c>
      <c r="CR62">
        <v>31</v>
      </c>
      <c r="CS62">
        <v>2</v>
      </c>
      <c r="CT62">
        <v>43</v>
      </c>
      <c r="CU62">
        <v>43</v>
      </c>
      <c r="CV62">
        <v>22</v>
      </c>
      <c r="CW62">
        <v>32</v>
      </c>
      <c r="CX62" s="5">
        <v>8.4499999999999993</v>
      </c>
      <c r="CY62" s="4">
        <v>18.62</v>
      </c>
      <c r="CZ62" s="4">
        <v>21.82</v>
      </c>
      <c r="DA62" s="4">
        <v>22.83</v>
      </c>
      <c r="DB62" s="4">
        <v>23.15</v>
      </c>
      <c r="DC62" s="4">
        <v>23.25</v>
      </c>
      <c r="DD62" s="4">
        <v>23.28</v>
      </c>
      <c r="DE62" s="4">
        <v>23.29</v>
      </c>
      <c r="DF62" s="4">
        <v>23.29</v>
      </c>
      <c r="DG62" s="4">
        <v>23.29</v>
      </c>
      <c r="DI62">
        <f>ABS(CX62-CX2)</f>
        <v>5.4499999999999993</v>
      </c>
      <c r="DJ62">
        <f t="shared" ref="DJ62:DR62" si="225">ABS(CY62-CY2)</f>
        <v>6.620000000000001</v>
      </c>
      <c r="DK62">
        <f t="shared" si="225"/>
        <v>19.18</v>
      </c>
      <c r="DL62">
        <f t="shared" si="225"/>
        <v>20.83</v>
      </c>
      <c r="DM62">
        <f t="shared" si="225"/>
        <v>7.8500000000000014</v>
      </c>
      <c r="DN62">
        <f t="shared" si="225"/>
        <v>21.25</v>
      </c>
      <c r="DO62">
        <f t="shared" si="225"/>
        <v>19.72</v>
      </c>
      <c r="DP62">
        <f t="shared" si="225"/>
        <v>19.71</v>
      </c>
      <c r="DQ62">
        <f t="shared" si="225"/>
        <v>1.2899999999999991</v>
      </c>
      <c r="DR62">
        <f t="shared" si="225"/>
        <v>8.7100000000000009</v>
      </c>
      <c r="DS62" s="1">
        <f>SUM(DI62:DR62)</f>
        <v>130.61000000000001</v>
      </c>
      <c r="DU62">
        <v>1</v>
      </c>
      <c r="DV62">
        <v>1</v>
      </c>
      <c r="DW62">
        <v>2</v>
      </c>
      <c r="DZ62">
        <f>ABS(CX62-CX$2)/MAX($B$2:$CW$2)</f>
        <v>0.12674418604651161</v>
      </c>
      <c r="EA62">
        <f t="shared" ref="EA62" si="226">ABS(CY62-CY$2)/MAX($B$2:$CW$2)</f>
        <v>0.15395348837209305</v>
      </c>
      <c r="EB62">
        <f t="shared" ref="EB62" si="227">ABS(CZ62-CZ$2)/MAX($B$2:$CW$2)</f>
        <v>0.44604651162790698</v>
      </c>
      <c r="EC62">
        <f t="shared" ref="EC62" si="228">ABS(DA62-DA$2)/MAX($B$2:$CW$2)</f>
        <v>0.48441860465116277</v>
      </c>
      <c r="ED62">
        <f t="shared" ref="ED62" si="229">ABS(DB62-DB$2)/MAX($B$2:$CW$2)</f>
        <v>0.18255813953488376</v>
      </c>
      <c r="EE62">
        <f t="shared" ref="EE62" si="230">ABS(DC62-DC$2)/MAX($B$2:$CW$2)</f>
        <v>0.4941860465116279</v>
      </c>
      <c r="EF62">
        <f t="shared" ref="EF62" si="231">ABS(DD62-DD$2)/MAX($B$2:$CW$2)</f>
        <v>0.45860465116279064</v>
      </c>
      <c r="EG62">
        <f t="shared" ref="EG62" si="232">ABS(DE62-DE$2)/MAX($B$2:$CW$2)</f>
        <v>0.45837209302325582</v>
      </c>
      <c r="EH62">
        <f t="shared" ref="EH62" si="233">ABS(DF62-DF$2)/MAX($B$2:$CW$2)</f>
        <v>2.9999999999999982E-2</v>
      </c>
      <c r="EI62">
        <f t="shared" ref="EI62" si="234">ABS(DG62-DG$2)/MAX($B$2:$CW$2)</f>
        <v>0.20255813953488375</v>
      </c>
      <c r="EJ62" s="1">
        <f>SUM(DZ62:EI62)</f>
        <v>3.0374418604651163</v>
      </c>
    </row>
    <row r="63" spans="1:140" x14ac:dyDescent="0.35">
      <c r="A63" t="s">
        <v>112</v>
      </c>
      <c r="B63">
        <v>0</v>
      </c>
      <c r="C63">
        <v>0</v>
      </c>
      <c r="D63">
        <v>112</v>
      </c>
      <c r="E63">
        <v>2</v>
      </c>
      <c r="F63">
        <v>100</v>
      </c>
      <c r="G63">
        <v>33</v>
      </c>
      <c r="H63">
        <v>55</v>
      </c>
      <c r="I63">
        <v>53</v>
      </c>
      <c r="J63">
        <v>23</v>
      </c>
      <c r="K63">
        <v>12</v>
      </c>
      <c r="L63">
        <v>0</v>
      </c>
      <c r="M63">
        <v>0</v>
      </c>
      <c r="N63">
        <v>112</v>
      </c>
      <c r="O63">
        <v>2</v>
      </c>
      <c r="P63">
        <v>100</v>
      </c>
      <c r="Q63">
        <v>33</v>
      </c>
      <c r="R63">
        <v>55</v>
      </c>
      <c r="S63">
        <v>53</v>
      </c>
      <c r="T63">
        <v>23</v>
      </c>
      <c r="U63">
        <v>12</v>
      </c>
      <c r="V63">
        <v>0</v>
      </c>
      <c r="W63">
        <v>0</v>
      </c>
      <c r="X63">
        <v>112</v>
      </c>
      <c r="Y63">
        <v>2</v>
      </c>
      <c r="Z63">
        <v>100</v>
      </c>
      <c r="AA63">
        <v>33</v>
      </c>
      <c r="AB63">
        <v>55</v>
      </c>
      <c r="AC63">
        <v>53</v>
      </c>
      <c r="AD63">
        <v>23</v>
      </c>
      <c r="AE63">
        <v>12</v>
      </c>
      <c r="AF63">
        <v>0</v>
      </c>
      <c r="AG63">
        <v>0</v>
      </c>
      <c r="AH63">
        <v>112</v>
      </c>
      <c r="AI63">
        <v>2</v>
      </c>
      <c r="AJ63">
        <v>100</v>
      </c>
      <c r="AK63">
        <v>33</v>
      </c>
      <c r="AL63">
        <v>55</v>
      </c>
      <c r="AM63">
        <v>53</v>
      </c>
      <c r="AN63">
        <v>23</v>
      </c>
      <c r="AO63">
        <v>12</v>
      </c>
      <c r="AP63">
        <v>0</v>
      </c>
      <c r="AQ63">
        <v>0</v>
      </c>
      <c r="AR63">
        <v>112</v>
      </c>
      <c r="AS63">
        <v>2</v>
      </c>
      <c r="AT63">
        <v>100</v>
      </c>
      <c r="AU63">
        <v>33</v>
      </c>
      <c r="AV63">
        <v>55</v>
      </c>
      <c r="AW63">
        <v>53</v>
      </c>
      <c r="AX63">
        <v>23</v>
      </c>
      <c r="AY63">
        <v>12</v>
      </c>
      <c r="AZ63">
        <v>0</v>
      </c>
      <c r="BA63">
        <v>0</v>
      </c>
      <c r="BB63">
        <v>112</v>
      </c>
      <c r="BC63">
        <v>2</v>
      </c>
      <c r="BD63">
        <v>100</v>
      </c>
      <c r="BE63">
        <v>33</v>
      </c>
      <c r="BF63">
        <v>55</v>
      </c>
      <c r="BG63">
        <v>53</v>
      </c>
      <c r="BH63">
        <v>23</v>
      </c>
      <c r="BI63">
        <v>12</v>
      </c>
      <c r="BJ63">
        <v>0</v>
      </c>
      <c r="BK63">
        <v>0</v>
      </c>
      <c r="BL63">
        <v>112</v>
      </c>
      <c r="BM63">
        <v>2</v>
      </c>
      <c r="BN63">
        <v>100</v>
      </c>
      <c r="BO63">
        <v>33</v>
      </c>
      <c r="BP63">
        <v>55</v>
      </c>
      <c r="BQ63">
        <v>53</v>
      </c>
      <c r="BR63">
        <v>23</v>
      </c>
      <c r="BS63">
        <v>12</v>
      </c>
      <c r="BT63">
        <v>0</v>
      </c>
      <c r="BU63">
        <v>0</v>
      </c>
      <c r="BV63">
        <v>112</v>
      </c>
      <c r="BW63">
        <v>2</v>
      </c>
      <c r="BX63">
        <v>100</v>
      </c>
      <c r="BY63">
        <v>33</v>
      </c>
      <c r="BZ63">
        <v>55</v>
      </c>
      <c r="CA63">
        <v>53</v>
      </c>
      <c r="CB63">
        <v>23</v>
      </c>
      <c r="CC63">
        <v>12</v>
      </c>
      <c r="CD63">
        <v>0</v>
      </c>
      <c r="CE63">
        <v>0</v>
      </c>
      <c r="CF63">
        <v>112</v>
      </c>
      <c r="CG63">
        <v>2</v>
      </c>
      <c r="CH63">
        <v>100</v>
      </c>
      <c r="CI63">
        <v>33</v>
      </c>
      <c r="CJ63">
        <v>55</v>
      </c>
      <c r="CK63">
        <v>53</v>
      </c>
      <c r="CL63">
        <v>23</v>
      </c>
      <c r="CM63">
        <v>12</v>
      </c>
      <c r="CN63">
        <v>0</v>
      </c>
      <c r="CO63">
        <v>0</v>
      </c>
      <c r="CP63">
        <v>112</v>
      </c>
      <c r="CQ63">
        <v>2</v>
      </c>
      <c r="CR63">
        <v>100</v>
      </c>
      <c r="CS63">
        <v>33</v>
      </c>
      <c r="CT63">
        <v>55</v>
      </c>
      <c r="CU63">
        <v>53</v>
      </c>
      <c r="CV63">
        <v>23</v>
      </c>
      <c r="CW63">
        <v>12</v>
      </c>
      <c r="CX63" s="5">
        <v>49.9</v>
      </c>
      <c r="CY63" s="4">
        <v>23.23</v>
      </c>
      <c r="CZ63" s="4">
        <v>52.03</v>
      </c>
      <c r="DA63" s="4">
        <v>24.65</v>
      </c>
      <c r="DB63" s="4">
        <v>52.54</v>
      </c>
      <c r="DC63" s="4">
        <v>25.18</v>
      </c>
      <c r="DD63" s="4">
        <v>52.58</v>
      </c>
      <c r="DE63" s="4">
        <v>25.46</v>
      </c>
      <c r="DF63" s="4">
        <v>52.48</v>
      </c>
      <c r="DG63" s="4">
        <v>25.65</v>
      </c>
      <c r="DI63">
        <f t="shared" ref="DI63:DI66" si="235">ABS(CX63-CX3)</f>
        <v>49.9</v>
      </c>
      <c r="DJ63">
        <f t="shared" ref="DJ63:DJ66" si="236">ABS(CY63-CY3)</f>
        <v>23.23</v>
      </c>
      <c r="DK63">
        <f t="shared" ref="DK63:DK66" si="237">ABS(CZ63-CZ3)</f>
        <v>59.97</v>
      </c>
      <c r="DL63">
        <f t="shared" ref="DL63:DL66" si="238">ABS(DA63-DA3)</f>
        <v>22.65</v>
      </c>
      <c r="DM63">
        <f t="shared" ref="DM63:DM66" si="239">ABS(DB63-DB3)</f>
        <v>47.46</v>
      </c>
      <c r="DN63">
        <f t="shared" ref="DN63:DN66" si="240">ABS(DC63-DC3)</f>
        <v>7.82</v>
      </c>
      <c r="DO63">
        <f t="shared" ref="DO63:DO66" si="241">ABS(DD63-DD3)</f>
        <v>2.4200000000000017</v>
      </c>
      <c r="DP63">
        <f t="shared" ref="DP63:DP66" si="242">ABS(DE63-DE3)</f>
        <v>27.54</v>
      </c>
      <c r="DQ63">
        <f t="shared" ref="DQ63:DQ66" si="243">ABS(DF63-DF3)</f>
        <v>29.479999999999997</v>
      </c>
      <c r="DR63">
        <f t="shared" ref="DR63:DR66" si="244">ABS(DG63-DG3)</f>
        <v>13.649999999999999</v>
      </c>
      <c r="DS63" s="1">
        <f t="shared" ref="DS63:DS66" si="245">SUM(DI63:DR63)</f>
        <v>284.11999999999995</v>
      </c>
      <c r="DU63">
        <v>2</v>
      </c>
      <c r="DV63">
        <v>0</v>
      </c>
      <c r="DW63">
        <v>2</v>
      </c>
      <c r="DZ63">
        <f>ABS(CX63-CX$3)/MAX($B$3:$CW$3)</f>
        <v>0.44553571428571426</v>
      </c>
      <c r="EA63">
        <f t="shared" ref="EA63" si="246">ABS(CY63-CY$3)/MAX($B$3:$CW$3)</f>
        <v>0.20741071428571428</v>
      </c>
      <c r="EB63">
        <f t="shared" ref="EB63" si="247">ABS(CZ63-CZ$3)/MAX($B$3:$CW$3)</f>
        <v>0.53544642857142855</v>
      </c>
      <c r="EC63">
        <f t="shared" ref="EC63" si="248">ABS(DA63-DA$3)/MAX($B$3:$CW$3)</f>
        <v>0.20223214285714283</v>
      </c>
      <c r="ED63">
        <f t="shared" ref="ED63" si="249">ABS(DB63-DB$3)/MAX($B$3:$CW$3)</f>
        <v>0.42375000000000002</v>
      </c>
      <c r="EE63">
        <f t="shared" ref="EE63" si="250">ABS(DC63-DC$3)/MAX($B$3:$CW$3)</f>
        <v>6.9821428571428576E-2</v>
      </c>
      <c r="EF63">
        <f t="shared" ref="EF63" si="251">ABS(DD63-DD$3)/MAX($B$3:$CW$3)</f>
        <v>2.1607142857142873E-2</v>
      </c>
      <c r="EG63">
        <f t="shared" ref="EG63" si="252">ABS(DE63-DE$3)/MAX($B$3:$CW$3)</f>
        <v>0.24589285714285714</v>
      </c>
      <c r="EH63">
        <f t="shared" ref="EH63" si="253">ABS(DF63-DF$3)/MAX($B$3:$CW$3)</f>
        <v>0.26321428571428568</v>
      </c>
      <c r="EI63">
        <f t="shared" ref="EI63" si="254">ABS(DG63-DG$3)/MAX($B$3:$CW$3)</f>
        <v>0.12187499999999998</v>
      </c>
      <c r="EJ63" s="1">
        <f t="shared" ref="EJ63:EJ66" si="255">SUM(DZ63:EI63)</f>
        <v>2.5367857142857142</v>
      </c>
    </row>
    <row r="64" spans="1:140" x14ac:dyDescent="0.35">
      <c r="A64" t="s">
        <v>113</v>
      </c>
      <c r="B64">
        <v>916</v>
      </c>
      <c r="C64">
        <v>939</v>
      </c>
      <c r="D64">
        <v>305</v>
      </c>
      <c r="E64">
        <v>952</v>
      </c>
      <c r="F64">
        <v>128</v>
      </c>
      <c r="G64">
        <v>81</v>
      </c>
      <c r="H64">
        <v>908</v>
      </c>
      <c r="I64">
        <v>744</v>
      </c>
      <c r="J64">
        <v>333</v>
      </c>
      <c r="K64">
        <v>862</v>
      </c>
      <c r="L64">
        <v>606</v>
      </c>
      <c r="M64">
        <v>352</v>
      </c>
      <c r="N64">
        <v>233</v>
      </c>
      <c r="O64">
        <v>502</v>
      </c>
      <c r="P64">
        <v>693</v>
      </c>
      <c r="Q64">
        <v>828</v>
      </c>
      <c r="R64">
        <v>189</v>
      </c>
      <c r="S64">
        <v>89</v>
      </c>
      <c r="T64">
        <v>705</v>
      </c>
      <c r="U64">
        <v>486</v>
      </c>
      <c r="V64">
        <v>142</v>
      </c>
      <c r="W64">
        <v>575</v>
      </c>
      <c r="X64">
        <v>972</v>
      </c>
      <c r="Y64">
        <v>222</v>
      </c>
      <c r="Z64">
        <v>593</v>
      </c>
      <c r="AA64">
        <v>259</v>
      </c>
      <c r="AB64">
        <v>492</v>
      </c>
      <c r="AC64">
        <v>227</v>
      </c>
      <c r="AD64">
        <v>195</v>
      </c>
      <c r="AE64">
        <v>374</v>
      </c>
      <c r="AF64">
        <v>539</v>
      </c>
      <c r="AG64">
        <v>2</v>
      </c>
      <c r="AH64">
        <v>865</v>
      </c>
      <c r="AI64">
        <v>308</v>
      </c>
      <c r="AJ64">
        <v>118</v>
      </c>
      <c r="AK64">
        <v>126</v>
      </c>
      <c r="AL64">
        <v>881</v>
      </c>
      <c r="AM64">
        <v>126</v>
      </c>
      <c r="AN64">
        <v>645</v>
      </c>
      <c r="AO64">
        <v>868</v>
      </c>
      <c r="AP64">
        <v>943</v>
      </c>
      <c r="AQ64">
        <v>483</v>
      </c>
      <c r="AR64">
        <v>701</v>
      </c>
      <c r="AS64">
        <v>190</v>
      </c>
      <c r="AT64">
        <v>251</v>
      </c>
      <c r="AU64">
        <v>872</v>
      </c>
      <c r="AV64">
        <v>905</v>
      </c>
      <c r="AW64">
        <v>632</v>
      </c>
      <c r="AX64">
        <v>842</v>
      </c>
      <c r="AY64">
        <v>42</v>
      </c>
      <c r="AZ64">
        <v>517</v>
      </c>
      <c r="BA64">
        <v>950</v>
      </c>
      <c r="BB64">
        <v>891</v>
      </c>
      <c r="BC64">
        <v>536</v>
      </c>
      <c r="BD64">
        <v>462</v>
      </c>
      <c r="BE64">
        <v>916</v>
      </c>
      <c r="BF64">
        <v>939</v>
      </c>
      <c r="BG64">
        <v>305</v>
      </c>
      <c r="BH64">
        <v>952</v>
      </c>
      <c r="BI64">
        <v>128</v>
      </c>
      <c r="BJ64">
        <v>81</v>
      </c>
      <c r="BK64">
        <v>908</v>
      </c>
      <c r="BL64">
        <v>744</v>
      </c>
      <c r="BM64">
        <v>333</v>
      </c>
      <c r="BN64">
        <v>862</v>
      </c>
      <c r="BO64">
        <v>606</v>
      </c>
      <c r="BP64">
        <v>352</v>
      </c>
      <c r="BQ64">
        <v>233</v>
      </c>
      <c r="BR64">
        <v>502</v>
      </c>
      <c r="BS64">
        <v>693</v>
      </c>
      <c r="BT64">
        <v>828</v>
      </c>
      <c r="BU64">
        <v>189</v>
      </c>
      <c r="BV64">
        <v>89</v>
      </c>
      <c r="BW64">
        <v>705</v>
      </c>
      <c r="BX64">
        <v>486</v>
      </c>
      <c r="BY64">
        <v>142</v>
      </c>
      <c r="BZ64">
        <v>575</v>
      </c>
      <c r="CA64">
        <v>972</v>
      </c>
      <c r="CB64">
        <v>222</v>
      </c>
      <c r="CC64">
        <v>593</v>
      </c>
      <c r="CD64">
        <v>259</v>
      </c>
      <c r="CE64">
        <v>492</v>
      </c>
      <c r="CF64">
        <v>227</v>
      </c>
      <c r="CG64">
        <v>195</v>
      </c>
      <c r="CH64">
        <v>374</v>
      </c>
      <c r="CI64">
        <v>539</v>
      </c>
      <c r="CJ64">
        <v>2</v>
      </c>
      <c r="CK64">
        <v>865</v>
      </c>
      <c r="CL64">
        <v>308</v>
      </c>
      <c r="CM64">
        <v>118</v>
      </c>
      <c r="CN64">
        <v>126</v>
      </c>
      <c r="CO64">
        <v>881</v>
      </c>
      <c r="CP64">
        <v>126</v>
      </c>
      <c r="CQ64">
        <v>645</v>
      </c>
      <c r="CR64">
        <v>868</v>
      </c>
      <c r="CS64">
        <v>943</v>
      </c>
      <c r="CT64">
        <v>483</v>
      </c>
      <c r="CU64">
        <v>701</v>
      </c>
      <c r="CV64">
        <v>190</v>
      </c>
      <c r="CW64">
        <v>251</v>
      </c>
      <c r="CX64" s="5">
        <v>600.16999999999996</v>
      </c>
      <c r="CY64" s="4">
        <v>534.94000000000005</v>
      </c>
      <c r="CZ64" s="4">
        <v>444.99</v>
      </c>
      <c r="DA64" s="4">
        <v>474</v>
      </c>
      <c r="DB64" s="4">
        <v>493.93</v>
      </c>
      <c r="DC64" s="4">
        <v>481.87</v>
      </c>
      <c r="DD64" s="4">
        <v>476.66</v>
      </c>
      <c r="DE64" s="4">
        <v>479.44</v>
      </c>
      <c r="DF64" s="4">
        <v>479.25</v>
      </c>
      <c r="DG64" s="4">
        <v>477.22</v>
      </c>
      <c r="DI64">
        <f t="shared" si="235"/>
        <v>271.83000000000004</v>
      </c>
      <c r="DJ64">
        <f t="shared" si="236"/>
        <v>370.05999999999995</v>
      </c>
      <c r="DK64">
        <f t="shared" si="237"/>
        <v>187.01</v>
      </c>
      <c r="DL64">
        <f t="shared" si="238"/>
        <v>368</v>
      </c>
      <c r="DM64">
        <f t="shared" si="239"/>
        <v>451.93</v>
      </c>
      <c r="DN64">
        <f t="shared" si="240"/>
        <v>35.129999999999995</v>
      </c>
      <c r="DO64">
        <f t="shared" si="241"/>
        <v>473.34</v>
      </c>
      <c r="DP64">
        <f t="shared" si="242"/>
        <v>411.56</v>
      </c>
      <c r="DQ64">
        <f t="shared" si="243"/>
        <v>56.75</v>
      </c>
      <c r="DR64">
        <f t="shared" si="244"/>
        <v>15.220000000000027</v>
      </c>
      <c r="DS64" s="1">
        <f t="shared" si="245"/>
        <v>2640.83</v>
      </c>
      <c r="DU64">
        <v>2</v>
      </c>
      <c r="DV64">
        <v>2</v>
      </c>
      <c r="DW64">
        <v>2</v>
      </c>
      <c r="DZ64">
        <f>ABS(CX64-CX$4)/MAX($B$4:$CW$4)</f>
        <v>0.27966049382716052</v>
      </c>
      <c r="EA64">
        <f t="shared" ref="EA64" si="256">ABS(CY64-CY$4)/MAX($B$4:$CW$4)</f>
        <v>0.38072016460905345</v>
      </c>
      <c r="EB64">
        <f t="shared" ref="EB64" si="257">ABS(CZ64-CZ$4)/MAX($B$4:$CW$4)</f>
        <v>0.19239711934156378</v>
      </c>
      <c r="EC64">
        <f t="shared" ref="EC64" si="258">ABS(DA64-DA$4)/MAX($B$4:$CW$4)</f>
        <v>0.37860082304526749</v>
      </c>
      <c r="ED64">
        <f t="shared" ref="ED64" si="259">ABS(DB64-DB$4)/MAX($B$4:$CW$4)</f>
        <v>0.46494855967078191</v>
      </c>
      <c r="EE64">
        <f t="shared" ref="EE64" si="260">ABS(DC64-DC$4)/MAX($B$4:$CW$4)</f>
        <v>3.6141975308641973E-2</v>
      </c>
      <c r="EF64">
        <f t="shared" ref="EF64" si="261">ABS(DD64-DD$4)/MAX($B$4:$CW$4)</f>
        <v>0.4869753086419753</v>
      </c>
      <c r="EG64">
        <f t="shared" ref="EG64" si="262">ABS(DE64-DE$4)/MAX($B$4:$CW$4)</f>
        <v>0.42341563786008229</v>
      </c>
      <c r="EH64">
        <f t="shared" ref="EH64" si="263">ABS(DF64-DF$4)/MAX($B$4:$CW$4)</f>
        <v>5.8384773662551438E-2</v>
      </c>
      <c r="EI64">
        <f t="shared" ref="EI64" si="264">ABS(DG64-DG$4)/MAX($B$4:$CW$4)</f>
        <v>1.5658436213991798E-2</v>
      </c>
      <c r="EJ64" s="1">
        <f t="shared" si="255"/>
        <v>2.7169032921810703</v>
      </c>
    </row>
    <row r="65" spans="1:140" x14ac:dyDescent="0.35">
      <c r="A65" t="s">
        <v>114</v>
      </c>
      <c r="B65">
        <v>77</v>
      </c>
      <c r="C65">
        <v>322</v>
      </c>
      <c r="D65">
        <v>260</v>
      </c>
      <c r="E65">
        <v>233</v>
      </c>
      <c r="F65">
        <v>284</v>
      </c>
      <c r="G65">
        <v>399</v>
      </c>
      <c r="H65">
        <v>370</v>
      </c>
      <c r="I65">
        <v>209</v>
      </c>
      <c r="J65">
        <v>368</v>
      </c>
      <c r="K65">
        <v>240</v>
      </c>
      <c r="L65">
        <v>350</v>
      </c>
      <c r="M65">
        <v>402</v>
      </c>
      <c r="N65">
        <v>343</v>
      </c>
      <c r="O65">
        <v>204</v>
      </c>
      <c r="P65">
        <v>298</v>
      </c>
      <c r="Q65">
        <v>226</v>
      </c>
      <c r="R65">
        <v>235</v>
      </c>
      <c r="S65">
        <v>4</v>
      </c>
      <c r="T65">
        <v>478</v>
      </c>
      <c r="U65">
        <v>174</v>
      </c>
      <c r="V65">
        <v>451</v>
      </c>
      <c r="W65">
        <v>295</v>
      </c>
      <c r="X65">
        <v>77</v>
      </c>
      <c r="Y65">
        <v>322</v>
      </c>
      <c r="Z65">
        <v>260</v>
      </c>
      <c r="AA65">
        <v>233</v>
      </c>
      <c r="AB65">
        <v>284</v>
      </c>
      <c r="AC65">
        <v>399</v>
      </c>
      <c r="AD65">
        <v>370</v>
      </c>
      <c r="AE65">
        <v>209</v>
      </c>
      <c r="AF65">
        <v>368</v>
      </c>
      <c r="AG65">
        <v>240</v>
      </c>
      <c r="AH65">
        <v>350</v>
      </c>
      <c r="AI65">
        <v>402</v>
      </c>
      <c r="AJ65">
        <v>343</v>
      </c>
      <c r="AK65">
        <v>204</v>
      </c>
      <c r="AL65">
        <v>298</v>
      </c>
      <c r="AM65">
        <v>226</v>
      </c>
      <c r="AN65">
        <v>235</v>
      </c>
      <c r="AO65">
        <v>4</v>
      </c>
      <c r="AP65">
        <v>478</v>
      </c>
      <c r="AQ65">
        <v>174</v>
      </c>
      <c r="AR65">
        <v>451</v>
      </c>
      <c r="AS65">
        <v>295</v>
      </c>
      <c r="AT65">
        <v>77</v>
      </c>
      <c r="AU65">
        <v>322</v>
      </c>
      <c r="AV65">
        <v>260</v>
      </c>
      <c r="AW65">
        <v>233</v>
      </c>
      <c r="AX65">
        <v>284</v>
      </c>
      <c r="AY65">
        <v>399</v>
      </c>
      <c r="AZ65">
        <v>370</v>
      </c>
      <c r="BA65">
        <v>209</v>
      </c>
      <c r="BB65">
        <v>368</v>
      </c>
      <c r="BC65">
        <v>240</v>
      </c>
      <c r="BD65">
        <v>350</v>
      </c>
      <c r="BE65">
        <v>402</v>
      </c>
      <c r="BF65">
        <v>343</v>
      </c>
      <c r="BG65">
        <v>204</v>
      </c>
      <c r="BH65">
        <v>298</v>
      </c>
      <c r="BI65">
        <v>226</v>
      </c>
      <c r="BJ65">
        <v>235</v>
      </c>
      <c r="BK65">
        <v>4</v>
      </c>
      <c r="BL65">
        <v>478</v>
      </c>
      <c r="BM65">
        <v>174</v>
      </c>
      <c r="BN65">
        <v>451</v>
      </c>
      <c r="BO65">
        <v>295</v>
      </c>
      <c r="BP65">
        <v>77</v>
      </c>
      <c r="BQ65">
        <v>322</v>
      </c>
      <c r="BR65">
        <v>260</v>
      </c>
      <c r="BS65">
        <v>233</v>
      </c>
      <c r="BT65">
        <v>284</v>
      </c>
      <c r="BU65">
        <v>399</v>
      </c>
      <c r="BV65">
        <v>370</v>
      </c>
      <c r="BW65">
        <v>209</v>
      </c>
      <c r="BX65">
        <v>368</v>
      </c>
      <c r="BY65">
        <v>240</v>
      </c>
      <c r="BZ65">
        <v>350</v>
      </c>
      <c r="CA65">
        <v>402</v>
      </c>
      <c r="CB65">
        <v>343</v>
      </c>
      <c r="CC65">
        <v>204</v>
      </c>
      <c r="CD65">
        <v>298</v>
      </c>
      <c r="CE65">
        <v>226</v>
      </c>
      <c r="CF65">
        <v>235</v>
      </c>
      <c r="CG65">
        <v>4</v>
      </c>
      <c r="CH65">
        <v>478</v>
      </c>
      <c r="CI65">
        <v>174</v>
      </c>
      <c r="CJ65">
        <v>451</v>
      </c>
      <c r="CK65">
        <v>295</v>
      </c>
      <c r="CL65">
        <v>77</v>
      </c>
      <c r="CM65">
        <v>322</v>
      </c>
      <c r="CN65">
        <v>260</v>
      </c>
      <c r="CO65">
        <v>233</v>
      </c>
      <c r="CP65">
        <v>284</v>
      </c>
      <c r="CQ65">
        <v>399</v>
      </c>
      <c r="CR65">
        <v>370</v>
      </c>
      <c r="CS65">
        <v>209</v>
      </c>
      <c r="CT65">
        <v>368</v>
      </c>
      <c r="CU65">
        <v>240</v>
      </c>
      <c r="CV65">
        <v>350</v>
      </c>
      <c r="CW65">
        <v>402</v>
      </c>
      <c r="CX65" s="5">
        <v>252.71</v>
      </c>
      <c r="CY65" s="4">
        <v>297.48</v>
      </c>
      <c r="CZ65" s="4">
        <v>285</v>
      </c>
      <c r="DA65" s="4">
        <v>289.41000000000003</v>
      </c>
      <c r="DB65" s="4">
        <v>288.83999999999997</v>
      </c>
      <c r="DC65" s="4">
        <v>289.74</v>
      </c>
      <c r="DD65" s="4">
        <v>290.2</v>
      </c>
      <c r="DE65" s="4">
        <v>290.8</v>
      </c>
      <c r="DF65" s="4">
        <v>291.35000000000002</v>
      </c>
      <c r="DG65" s="4">
        <v>291.92</v>
      </c>
      <c r="DI65">
        <f t="shared" si="235"/>
        <v>90.289999999999992</v>
      </c>
      <c r="DJ65">
        <f t="shared" si="236"/>
        <v>93.480000000000018</v>
      </c>
      <c r="DK65">
        <f t="shared" si="237"/>
        <v>13</v>
      </c>
      <c r="DL65">
        <f t="shared" si="238"/>
        <v>63.410000000000025</v>
      </c>
      <c r="DM65">
        <f t="shared" si="239"/>
        <v>53.839999999999975</v>
      </c>
      <c r="DN65">
        <f t="shared" si="240"/>
        <v>285.74</v>
      </c>
      <c r="DO65">
        <f t="shared" si="241"/>
        <v>187.8</v>
      </c>
      <c r="DP65">
        <f t="shared" si="242"/>
        <v>116.80000000000001</v>
      </c>
      <c r="DQ65">
        <f t="shared" si="243"/>
        <v>159.64999999999998</v>
      </c>
      <c r="DR65">
        <f t="shared" si="244"/>
        <v>3.0799999999999841</v>
      </c>
      <c r="DS65" s="1">
        <f t="shared" si="245"/>
        <v>1067.0899999999997</v>
      </c>
      <c r="DU65">
        <v>1</v>
      </c>
      <c r="DV65">
        <v>2</v>
      </c>
      <c r="DW65">
        <v>2</v>
      </c>
      <c r="DZ65">
        <f>ABS(CX65-CX$5)/MAX($B$5:$CW$5)</f>
        <v>0.18889121338912132</v>
      </c>
      <c r="EA65">
        <f t="shared" ref="EA65" si="265">ABS(CY65-CY$5)/MAX($B$5:$CW$5)</f>
        <v>0.1955648535564854</v>
      </c>
      <c r="EB65">
        <f t="shared" ref="EB65" si="266">ABS(CZ65-CZ$5)/MAX($B$5:$CW$5)</f>
        <v>2.7196652719665274E-2</v>
      </c>
      <c r="EC65">
        <f t="shared" ref="EC65" si="267">ABS(DA65-DA$5)/MAX($B$5:$CW$5)</f>
        <v>0.13265690376569042</v>
      </c>
      <c r="ED65">
        <f t="shared" ref="ED65" si="268">ABS(DB65-DB$5)/MAX($B$5:$CW$5)</f>
        <v>0.11263598326359828</v>
      </c>
      <c r="EE65">
        <f t="shared" ref="EE65" si="269">ABS(DC65-DC$5)/MAX($B$5:$CW$5)</f>
        <v>0.59778242677824267</v>
      </c>
      <c r="EF65">
        <f t="shared" ref="EF65" si="270">ABS(DD65-DD$5)/MAX($B$5:$CW$5)</f>
        <v>0.39288702928870295</v>
      </c>
      <c r="EG65">
        <f t="shared" ref="EG65" si="271">ABS(DE65-DE$5)/MAX($B$5:$CW$5)</f>
        <v>0.24435146443514646</v>
      </c>
      <c r="EH65">
        <f t="shared" ref="EH65" si="272">ABS(DF65-DF$5)/MAX($B$5:$CW$5)</f>
        <v>0.33399581589958155</v>
      </c>
      <c r="EI65">
        <f t="shared" ref="EI65" si="273">ABS(DG65-DG$5)/MAX($B$5:$CW$5)</f>
        <v>6.4435146443514307E-3</v>
      </c>
      <c r="EJ65" s="1">
        <f t="shared" si="255"/>
        <v>2.2324058577405861</v>
      </c>
    </row>
    <row r="66" spans="1:140" x14ac:dyDescent="0.35">
      <c r="A66" t="s">
        <v>115</v>
      </c>
      <c r="B66">
        <v>779</v>
      </c>
      <c r="C66">
        <v>532</v>
      </c>
      <c r="D66">
        <v>86</v>
      </c>
      <c r="E66">
        <v>290</v>
      </c>
      <c r="F66">
        <v>534</v>
      </c>
      <c r="G66">
        <v>505</v>
      </c>
      <c r="H66">
        <v>249</v>
      </c>
      <c r="I66">
        <v>503</v>
      </c>
      <c r="J66">
        <v>991</v>
      </c>
      <c r="K66">
        <v>705</v>
      </c>
      <c r="L66">
        <v>357</v>
      </c>
      <c r="M66">
        <v>112</v>
      </c>
      <c r="N66">
        <v>927</v>
      </c>
      <c r="O66">
        <v>582</v>
      </c>
      <c r="P66">
        <v>746</v>
      </c>
      <c r="Q66">
        <v>677</v>
      </c>
      <c r="R66">
        <v>405</v>
      </c>
      <c r="S66">
        <v>758</v>
      </c>
      <c r="T66">
        <v>412</v>
      </c>
      <c r="U66">
        <v>890</v>
      </c>
      <c r="V66">
        <v>944</v>
      </c>
      <c r="W66">
        <v>818</v>
      </c>
      <c r="X66">
        <v>293</v>
      </c>
      <c r="Y66">
        <v>575</v>
      </c>
      <c r="Z66">
        <v>10</v>
      </c>
      <c r="AA66">
        <v>294</v>
      </c>
      <c r="AB66">
        <v>593</v>
      </c>
      <c r="AC66">
        <v>380</v>
      </c>
      <c r="AD66">
        <v>133</v>
      </c>
      <c r="AE66">
        <v>886</v>
      </c>
      <c r="AF66">
        <v>956</v>
      </c>
      <c r="AG66">
        <v>886</v>
      </c>
      <c r="AH66">
        <v>506</v>
      </c>
      <c r="AI66">
        <v>581</v>
      </c>
      <c r="AJ66">
        <v>558</v>
      </c>
      <c r="AK66">
        <v>879</v>
      </c>
      <c r="AL66">
        <v>322</v>
      </c>
      <c r="AM66">
        <v>613</v>
      </c>
      <c r="AN66">
        <v>613</v>
      </c>
      <c r="AO66">
        <v>888</v>
      </c>
      <c r="AP66">
        <v>592</v>
      </c>
      <c r="AQ66">
        <v>192</v>
      </c>
      <c r="AR66">
        <v>249</v>
      </c>
      <c r="AS66">
        <v>293</v>
      </c>
      <c r="AT66">
        <v>283</v>
      </c>
      <c r="AU66">
        <v>156</v>
      </c>
      <c r="AV66">
        <v>336</v>
      </c>
      <c r="AW66">
        <v>192</v>
      </c>
      <c r="AX66">
        <v>226</v>
      </c>
      <c r="AY66">
        <v>634</v>
      </c>
      <c r="AZ66">
        <v>713</v>
      </c>
      <c r="BA66">
        <v>961</v>
      </c>
      <c r="BB66">
        <v>41</v>
      </c>
      <c r="BC66">
        <v>988</v>
      </c>
      <c r="BD66">
        <v>628</v>
      </c>
      <c r="BE66">
        <v>286</v>
      </c>
      <c r="BF66">
        <v>90</v>
      </c>
      <c r="BG66">
        <v>350</v>
      </c>
      <c r="BH66">
        <v>312</v>
      </c>
      <c r="BI66">
        <v>127</v>
      </c>
      <c r="BJ66">
        <v>862</v>
      </c>
      <c r="BK66">
        <v>433</v>
      </c>
      <c r="BL66">
        <v>311</v>
      </c>
      <c r="BM66">
        <v>795</v>
      </c>
      <c r="BN66">
        <v>94</v>
      </c>
      <c r="BO66">
        <v>249</v>
      </c>
      <c r="BP66">
        <v>293</v>
      </c>
      <c r="BQ66">
        <v>825</v>
      </c>
      <c r="BR66">
        <v>986</v>
      </c>
      <c r="BS66">
        <v>360</v>
      </c>
      <c r="BT66">
        <v>590</v>
      </c>
      <c r="BU66">
        <v>435</v>
      </c>
      <c r="BV66">
        <v>713</v>
      </c>
      <c r="BW66">
        <v>40</v>
      </c>
      <c r="BX66">
        <v>881</v>
      </c>
      <c r="BY66">
        <v>942</v>
      </c>
      <c r="BZ66">
        <v>910</v>
      </c>
      <c r="CA66">
        <v>663</v>
      </c>
      <c r="CB66">
        <v>815</v>
      </c>
      <c r="CC66">
        <v>523</v>
      </c>
      <c r="CD66">
        <v>901</v>
      </c>
      <c r="CE66">
        <v>500</v>
      </c>
      <c r="CF66">
        <v>637</v>
      </c>
      <c r="CG66">
        <v>972</v>
      </c>
      <c r="CH66">
        <v>294</v>
      </c>
      <c r="CI66">
        <v>815</v>
      </c>
      <c r="CJ66">
        <v>860</v>
      </c>
      <c r="CK66">
        <v>736</v>
      </c>
      <c r="CL66">
        <v>929</v>
      </c>
      <c r="CM66">
        <v>650</v>
      </c>
      <c r="CN66">
        <v>396</v>
      </c>
      <c r="CO66">
        <v>541</v>
      </c>
      <c r="CP66">
        <v>471</v>
      </c>
      <c r="CQ66">
        <v>370</v>
      </c>
      <c r="CR66">
        <v>727</v>
      </c>
      <c r="CS66">
        <v>639</v>
      </c>
      <c r="CT66">
        <v>626</v>
      </c>
      <c r="CU66">
        <v>955</v>
      </c>
      <c r="CV66">
        <v>31</v>
      </c>
      <c r="CW66">
        <v>250</v>
      </c>
      <c r="CX66" s="5">
        <v>547.57000000000005</v>
      </c>
      <c r="CY66" s="4">
        <v>568.72</v>
      </c>
      <c r="CZ66" s="4">
        <v>570.9</v>
      </c>
      <c r="DA66" s="4">
        <v>571.79</v>
      </c>
      <c r="DB66" s="4">
        <v>572.58000000000004</v>
      </c>
      <c r="DC66" s="4">
        <v>573.37</v>
      </c>
      <c r="DD66" s="4">
        <v>574.15</v>
      </c>
      <c r="DE66" s="4">
        <v>574.94000000000005</v>
      </c>
      <c r="DF66" s="4">
        <v>575.73</v>
      </c>
      <c r="DG66" s="4">
        <v>576.51</v>
      </c>
      <c r="DI66">
        <f t="shared" si="235"/>
        <v>363.42999999999995</v>
      </c>
      <c r="DJ66">
        <f t="shared" si="236"/>
        <v>119.27999999999997</v>
      </c>
      <c r="DK66">
        <f t="shared" si="237"/>
        <v>106.10000000000002</v>
      </c>
      <c r="DL66">
        <f t="shared" si="238"/>
        <v>216.21000000000004</v>
      </c>
      <c r="DM66">
        <f t="shared" si="239"/>
        <v>77.419999999999959</v>
      </c>
      <c r="DN66">
        <f t="shared" si="240"/>
        <v>160.63</v>
      </c>
      <c r="DO66">
        <f t="shared" si="241"/>
        <v>31.149999999999977</v>
      </c>
      <c r="DP66">
        <f t="shared" si="242"/>
        <v>237.94000000000005</v>
      </c>
      <c r="DQ66">
        <f t="shared" si="243"/>
        <v>61.730000000000018</v>
      </c>
      <c r="DR66">
        <f t="shared" si="244"/>
        <v>450.51</v>
      </c>
      <c r="DS66" s="1">
        <f t="shared" si="245"/>
        <v>1824.3999999999999</v>
      </c>
      <c r="DU66">
        <v>1</v>
      </c>
      <c r="DV66">
        <v>2</v>
      </c>
      <c r="DW66">
        <v>2</v>
      </c>
      <c r="DZ66">
        <f>ABS(CX66-CX$6)/MAX($B$6:$CW$6)</f>
        <v>0.36673057517658925</v>
      </c>
      <c r="EA66">
        <f t="shared" ref="EA66" si="274">ABS(CY66-CY$6)/MAX($B$6:$CW$6)</f>
        <v>0.12036326942482338</v>
      </c>
      <c r="EB66">
        <f t="shared" ref="EB66" si="275">ABS(CZ66-CZ$6)/MAX($B$6:$CW$6)</f>
        <v>0.10706357214934412</v>
      </c>
      <c r="EC66">
        <f t="shared" ref="EC66" si="276">ABS(DA66-DA$6)/MAX($B$6:$CW$6)</f>
        <v>0.21817356205852678</v>
      </c>
      <c r="ED66">
        <f t="shared" ref="ED66" si="277">ABS(DB66-DB$6)/MAX($B$6:$CW$6)</f>
        <v>7.8123107971745667E-2</v>
      </c>
      <c r="EE66">
        <f t="shared" ref="EE66" si="278">ABS(DC66-DC$6)/MAX($B$6:$CW$6)</f>
        <v>0.16208879919273461</v>
      </c>
      <c r="EF66">
        <f t="shared" ref="EF66" si="279">ABS(DD66-DD$6)/MAX($B$6:$CW$6)</f>
        <v>3.143289606458121E-2</v>
      </c>
      <c r="EG66">
        <f t="shared" ref="EG66" si="280">ABS(DE66-DE$6)/MAX($B$6:$CW$6)</f>
        <v>0.24010090817356211</v>
      </c>
      <c r="EH66">
        <f t="shared" ref="EH66" si="281">ABS(DF66-DF$6)/MAX($B$6:$CW$6)</f>
        <v>6.2290615539858749E-2</v>
      </c>
      <c r="EI66">
        <f t="shared" ref="EI66" si="282">ABS(DG66-DG$6)/MAX($B$6:$CW$6)</f>
        <v>0.45460141271442989</v>
      </c>
      <c r="EJ66" s="1">
        <f t="shared" si="255"/>
        <v>1.8409687184661956</v>
      </c>
    </row>
    <row r="69" spans="1:140" x14ac:dyDescent="0.35">
      <c r="CX69" s="2" t="s">
        <v>142</v>
      </c>
    </row>
    <row r="70" spans="1:140" x14ac:dyDescent="0.3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t="s">
        <v>7</v>
      </c>
      <c r="I70" t="s">
        <v>8</v>
      </c>
      <c r="J70" t="s">
        <v>9</v>
      </c>
      <c r="K70" t="s">
        <v>10</v>
      </c>
      <c r="L70" t="s">
        <v>11</v>
      </c>
      <c r="M70" t="s">
        <v>12</v>
      </c>
      <c r="N70" t="s">
        <v>13</v>
      </c>
      <c r="O70" t="s">
        <v>14</v>
      </c>
      <c r="P70" t="s">
        <v>15</v>
      </c>
      <c r="Q70" t="s">
        <v>16</v>
      </c>
      <c r="R70" t="s">
        <v>17</v>
      </c>
      <c r="S70" t="s">
        <v>18</v>
      </c>
      <c r="T70" t="s">
        <v>19</v>
      </c>
      <c r="U70" t="s">
        <v>20</v>
      </c>
      <c r="V70" t="s">
        <v>21</v>
      </c>
      <c r="W70" t="s">
        <v>22</v>
      </c>
      <c r="X70" t="s">
        <v>23</v>
      </c>
      <c r="Y70" t="s">
        <v>24</v>
      </c>
      <c r="Z70" t="s">
        <v>25</v>
      </c>
      <c r="AA70" t="s">
        <v>26</v>
      </c>
      <c r="AB70" t="s">
        <v>27</v>
      </c>
      <c r="AC70" t="s">
        <v>28</v>
      </c>
      <c r="AD70" t="s">
        <v>29</v>
      </c>
      <c r="AE70" t="s">
        <v>30</v>
      </c>
      <c r="AF70" t="s">
        <v>31</v>
      </c>
      <c r="AG70" t="s">
        <v>32</v>
      </c>
      <c r="AH70" t="s">
        <v>33</v>
      </c>
      <c r="AI70" t="s">
        <v>34</v>
      </c>
      <c r="AJ70" t="s">
        <v>35</v>
      </c>
      <c r="AK70" t="s">
        <v>36</v>
      </c>
      <c r="AL70" t="s">
        <v>37</v>
      </c>
      <c r="AM70" t="s">
        <v>38</v>
      </c>
      <c r="AN70" t="s">
        <v>39</v>
      </c>
      <c r="AO70" t="s">
        <v>40</v>
      </c>
      <c r="AP70" t="s">
        <v>41</v>
      </c>
      <c r="AQ70" t="s">
        <v>42</v>
      </c>
      <c r="AR70" t="s">
        <v>43</v>
      </c>
      <c r="AS70" t="s">
        <v>44</v>
      </c>
      <c r="AT70" t="s">
        <v>45</v>
      </c>
      <c r="AU70" t="s">
        <v>46</v>
      </c>
      <c r="AV70" t="s">
        <v>47</v>
      </c>
      <c r="AW70" t="s">
        <v>48</v>
      </c>
      <c r="AX70" t="s">
        <v>49</v>
      </c>
      <c r="AY70" t="s">
        <v>50</v>
      </c>
      <c r="AZ70" t="s">
        <v>51</v>
      </c>
      <c r="BA70" t="s">
        <v>52</v>
      </c>
      <c r="BB70" t="s">
        <v>53</v>
      </c>
      <c r="BC70" t="s">
        <v>54</v>
      </c>
      <c r="BD70" t="s">
        <v>55</v>
      </c>
      <c r="BE70" t="s">
        <v>56</v>
      </c>
      <c r="BF70" t="s">
        <v>57</v>
      </c>
      <c r="BG70" t="s">
        <v>58</v>
      </c>
      <c r="BH70" t="s">
        <v>59</v>
      </c>
      <c r="BI70" t="s">
        <v>60</v>
      </c>
      <c r="BJ70" t="s">
        <v>61</v>
      </c>
      <c r="BK70" t="s">
        <v>62</v>
      </c>
      <c r="BL70" t="s">
        <v>63</v>
      </c>
      <c r="BM70" t="s">
        <v>64</v>
      </c>
      <c r="BN70" t="s">
        <v>65</v>
      </c>
      <c r="BO70" t="s">
        <v>66</v>
      </c>
      <c r="BP70" t="s">
        <v>67</v>
      </c>
      <c r="BQ70" t="s">
        <v>68</v>
      </c>
      <c r="BR70" t="s">
        <v>69</v>
      </c>
      <c r="BS70" t="s">
        <v>70</v>
      </c>
      <c r="BT70" t="s">
        <v>71</v>
      </c>
      <c r="BU70" t="s">
        <v>72</v>
      </c>
      <c r="BV70" t="s">
        <v>73</v>
      </c>
      <c r="BW70" t="s">
        <v>74</v>
      </c>
      <c r="BX70" t="s">
        <v>75</v>
      </c>
      <c r="BY70" t="s">
        <v>76</v>
      </c>
      <c r="BZ70" t="s">
        <v>77</v>
      </c>
      <c r="CA70" t="s">
        <v>78</v>
      </c>
      <c r="CB70" t="s">
        <v>79</v>
      </c>
      <c r="CC70" t="s">
        <v>80</v>
      </c>
      <c r="CD70" t="s">
        <v>81</v>
      </c>
      <c r="CE70" t="s">
        <v>82</v>
      </c>
      <c r="CF70" t="s">
        <v>83</v>
      </c>
      <c r="CG70" t="s">
        <v>84</v>
      </c>
      <c r="CH70" t="s">
        <v>85</v>
      </c>
      <c r="CI70" t="s">
        <v>86</v>
      </c>
      <c r="CJ70" t="s">
        <v>87</v>
      </c>
      <c r="CK70" t="s">
        <v>88</v>
      </c>
      <c r="CL70" t="s">
        <v>89</v>
      </c>
      <c r="CM70" t="s">
        <v>90</v>
      </c>
      <c r="CN70" t="s">
        <v>91</v>
      </c>
      <c r="CO70" t="s">
        <v>92</v>
      </c>
      <c r="CP70" t="s">
        <v>93</v>
      </c>
      <c r="CQ70" t="s">
        <v>94</v>
      </c>
      <c r="CR70" t="s">
        <v>95</v>
      </c>
      <c r="CS70" t="s">
        <v>96</v>
      </c>
      <c r="CT70" t="s">
        <v>97</v>
      </c>
      <c r="CU70" t="s">
        <v>98</v>
      </c>
      <c r="CV70" t="s">
        <v>99</v>
      </c>
      <c r="CW70" t="s">
        <v>100</v>
      </c>
      <c r="CX70" s="2" t="s">
        <v>101</v>
      </c>
      <c r="CY70" t="s">
        <v>102</v>
      </c>
      <c r="CZ70" t="s">
        <v>103</v>
      </c>
      <c r="DA70" t="s">
        <v>104</v>
      </c>
      <c r="DB70" t="s">
        <v>105</v>
      </c>
      <c r="DC70" t="s">
        <v>106</v>
      </c>
      <c r="DD70" t="s">
        <v>107</v>
      </c>
      <c r="DE70" t="s">
        <v>108</v>
      </c>
      <c r="DF70" t="s">
        <v>109</v>
      </c>
      <c r="DG70" t="s">
        <v>110</v>
      </c>
      <c r="DI70" t="s">
        <v>101</v>
      </c>
      <c r="DJ70" t="s">
        <v>102</v>
      </c>
      <c r="DK70" t="s">
        <v>103</v>
      </c>
      <c r="DL70" t="s">
        <v>104</v>
      </c>
      <c r="DM70" t="s">
        <v>105</v>
      </c>
      <c r="DN70" t="s">
        <v>106</v>
      </c>
      <c r="DO70" t="s">
        <v>107</v>
      </c>
      <c r="DP70" t="s">
        <v>108</v>
      </c>
      <c r="DQ70" t="s">
        <v>109</v>
      </c>
      <c r="DR70" t="s">
        <v>110</v>
      </c>
      <c r="DS70" s="1" t="s">
        <v>120</v>
      </c>
      <c r="DZ70" t="s">
        <v>101</v>
      </c>
      <c r="EA70" t="s">
        <v>102</v>
      </c>
      <c r="EB70" t="s">
        <v>103</v>
      </c>
      <c r="EC70" t="s">
        <v>104</v>
      </c>
      <c r="ED70" t="s">
        <v>105</v>
      </c>
      <c r="EE70" t="s">
        <v>106</v>
      </c>
      <c r="EF70" t="s">
        <v>107</v>
      </c>
      <c r="EG70" t="s">
        <v>108</v>
      </c>
      <c r="EH70" t="s">
        <v>109</v>
      </c>
      <c r="EI70" t="s">
        <v>110</v>
      </c>
      <c r="EJ70" s="1" t="s">
        <v>120</v>
      </c>
    </row>
    <row r="71" spans="1:140" x14ac:dyDescent="0.35">
      <c r="A71" t="s">
        <v>111</v>
      </c>
      <c r="B71">
        <v>3</v>
      </c>
      <c r="C71">
        <v>12</v>
      </c>
      <c r="D71">
        <v>41</v>
      </c>
      <c r="E71">
        <v>2</v>
      </c>
      <c r="F71">
        <v>31</v>
      </c>
      <c r="G71">
        <v>2</v>
      </c>
      <c r="H71">
        <v>43</v>
      </c>
      <c r="I71">
        <v>43</v>
      </c>
      <c r="J71">
        <v>22</v>
      </c>
      <c r="K71">
        <v>32</v>
      </c>
      <c r="L71">
        <v>3</v>
      </c>
      <c r="M71">
        <v>12</v>
      </c>
      <c r="N71">
        <v>41</v>
      </c>
      <c r="O71">
        <v>2</v>
      </c>
      <c r="P71">
        <v>31</v>
      </c>
      <c r="Q71">
        <v>2</v>
      </c>
      <c r="R71">
        <v>43</v>
      </c>
      <c r="S71">
        <v>43</v>
      </c>
      <c r="T71">
        <v>22</v>
      </c>
      <c r="U71">
        <v>32</v>
      </c>
      <c r="V71">
        <v>3</v>
      </c>
      <c r="W71">
        <v>12</v>
      </c>
      <c r="X71">
        <v>41</v>
      </c>
      <c r="Y71">
        <v>2</v>
      </c>
      <c r="Z71">
        <v>31</v>
      </c>
      <c r="AA71">
        <v>2</v>
      </c>
      <c r="AB71">
        <v>43</v>
      </c>
      <c r="AC71">
        <v>43</v>
      </c>
      <c r="AD71">
        <v>22</v>
      </c>
      <c r="AE71">
        <v>32</v>
      </c>
      <c r="AF71">
        <v>3</v>
      </c>
      <c r="AG71">
        <v>12</v>
      </c>
      <c r="AH71">
        <v>41</v>
      </c>
      <c r="AI71">
        <v>2</v>
      </c>
      <c r="AJ71">
        <v>31</v>
      </c>
      <c r="AK71">
        <v>2</v>
      </c>
      <c r="AL71">
        <v>43</v>
      </c>
      <c r="AM71">
        <v>43</v>
      </c>
      <c r="AN71">
        <v>22</v>
      </c>
      <c r="AO71">
        <v>32</v>
      </c>
      <c r="AP71">
        <v>3</v>
      </c>
      <c r="AQ71">
        <v>12</v>
      </c>
      <c r="AR71">
        <v>41</v>
      </c>
      <c r="AS71">
        <v>2</v>
      </c>
      <c r="AT71">
        <v>31</v>
      </c>
      <c r="AU71">
        <v>2</v>
      </c>
      <c r="AV71">
        <v>43</v>
      </c>
      <c r="AW71">
        <v>43</v>
      </c>
      <c r="AX71">
        <v>22</v>
      </c>
      <c r="AY71">
        <v>32</v>
      </c>
      <c r="AZ71">
        <v>3</v>
      </c>
      <c r="BA71">
        <v>12</v>
      </c>
      <c r="BB71">
        <v>41</v>
      </c>
      <c r="BC71">
        <v>2</v>
      </c>
      <c r="BD71">
        <v>31</v>
      </c>
      <c r="BE71">
        <v>2</v>
      </c>
      <c r="BF71">
        <v>43</v>
      </c>
      <c r="BG71">
        <v>43</v>
      </c>
      <c r="BH71">
        <v>22</v>
      </c>
      <c r="BI71">
        <v>32</v>
      </c>
      <c r="BJ71">
        <v>3</v>
      </c>
      <c r="BK71">
        <v>12</v>
      </c>
      <c r="BL71">
        <v>41</v>
      </c>
      <c r="BM71">
        <v>2</v>
      </c>
      <c r="BN71">
        <v>31</v>
      </c>
      <c r="BO71">
        <v>2</v>
      </c>
      <c r="BP71">
        <v>43</v>
      </c>
      <c r="BQ71">
        <v>43</v>
      </c>
      <c r="BR71">
        <v>22</v>
      </c>
      <c r="BS71">
        <v>32</v>
      </c>
      <c r="BT71">
        <v>3</v>
      </c>
      <c r="BU71">
        <v>12</v>
      </c>
      <c r="BV71">
        <v>41</v>
      </c>
      <c r="BW71">
        <v>2</v>
      </c>
      <c r="BX71">
        <v>31</v>
      </c>
      <c r="BY71">
        <v>2</v>
      </c>
      <c r="BZ71">
        <v>43</v>
      </c>
      <c r="CA71">
        <v>43</v>
      </c>
      <c r="CB71">
        <v>22</v>
      </c>
      <c r="CC71">
        <v>32</v>
      </c>
      <c r="CD71">
        <v>3</v>
      </c>
      <c r="CE71">
        <v>12</v>
      </c>
      <c r="CF71">
        <v>41</v>
      </c>
      <c r="CG71">
        <v>2</v>
      </c>
      <c r="CH71">
        <v>31</v>
      </c>
      <c r="CI71">
        <v>2</v>
      </c>
      <c r="CJ71">
        <v>43</v>
      </c>
      <c r="CK71">
        <v>43</v>
      </c>
      <c r="CL71">
        <v>22</v>
      </c>
      <c r="CM71">
        <v>32</v>
      </c>
      <c r="CN71">
        <v>3</v>
      </c>
      <c r="CO71">
        <v>12</v>
      </c>
      <c r="CP71">
        <v>41</v>
      </c>
      <c r="CQ71">
        <v>2</v>
      </c>
      <c r="CR71">
        <v>31</v>
      </c>
      <c r="CS71">
        <v>2</v>
      </c>
      <c r="CT71">
        <v>43</v>
      </c>
      <c r="CU71">
        <v>43</v>
      </c>
      <c r="CV71">
        <v>22</v>
      </c>
      <c r="CW71">
        <v>32</v>
      </c>
      <c r="CX71" s="7">
        <v>4.5</v>
      </c>
      <c r="CY71" s="6">
        <v>11.8</v>
      </c>
      <c r="CZ71" s="6">
        <v>40.1</v>
      </c>
      <c r="DA71" s="6">
        <v>-0.4</v>
      </c>
      <c r="DB71" s="6">
        <v>30.2</v>
      </c>
      <c r="DC71" s="6">
        <v>4.3</v>
      </c>
      <c r="DD71" s="6">
        <v>45</v>
      </c>
      <c r="DE71" s="6">
        <v>44.4</v>
      </c>
      <c r="DF71" s="6">
        <v>22.7</v>
      </c>
      <c r="DG71" s="6">
        <v>31</v>
      </c>
      <c r="DI71">
        <f>ABS((CX71-CX2))</f>
        <v>1.5</v>
      </c>
      <c r="DJ71">
        <f t="shared" ref="DJ71:DR71" si="283">ABS((CY71-CY2))</f>
        <v>0.19999999999999929</v>
      </c>
      <c r="DK71">
        <f t="shared" si="283"/>
        <v>0.89999999999999858</v>
      </c>
      <c r="DL71">
        <f t="shared" si="283"/>
        <v>2.4</v>
      </c>
      <c r="DM71">
        <f t="shared" si="283"/>
        <v>0.80000000000000071</v>
      </c>
      <c r="DN71">
        <f t="shared" si="283"/>
        <v>2.2999999999999998</v>
      </c>
      <c r="DO71">
        <f t="shared" si="283"/>
        <v>2</v>
      </c>
      <c r="DP71">
        <f t="shared" si="283"/>
        <v>1.3999999999999986</v>
      </c>
      <c r="DQ71">
        <f t="shared" si="283"/>
        <v>0.69999999999999929</v>
      </c>
      <c r="DR71">
        <f t="shared" si="283"/>
        <v>1</v>
      </c>
      <c r="DS71" s="1">
        <f>SUM(DI71:DR71)</f>
        <v>13.199999999999996</v>
      </c>
      <c r="DZ71">
        <f>ABS(CX71-CX$2)/MAX($B$2:$CW$2)</f>
        <v>3.4883720930232558E-2</v>
      </c>
      <c r="EA71">
        <f t="shared" ref="EA71" si="284">ABS(CY71-CY$2)/MAX($B$2:$CW$2)</f>
        <v>4.6511627906976579E-3</v>
      </c>
      <c r="EB71">
        <f t="shared" ref="EB71" si="285">ABS(CZ71-CZ$2)/MAX($B$2:$CW$2)</f>
        <v>2.0930232558139503E-2</v>
      </c>
      <c r="EC71">
        <f t="shared" ref="EC71" si="286">ABS(DA71-DA$2)/MAX($B$2:$CW$2)</f>
        <v>5.5813953488372092E-2</v>
      </c>
      <c r="ED71">
        <f t="shared" ref="ED71" si="287">ABS(DB71-DB$2)/MAX($B$2:$CW$2)</f>
        <v>1.8604651162790715E-2</v>
      </c>
      <c r="EE71">
        <f t="shared" ref="EE71" si="288">ABS(DC71-DC$2)/MAX($B$2:$CW$2)</f>
        <v>5.3488372093023255E-2</v>
      </c>
      <c r="EF71">
        <f t="shared" ref="EF71" si="289">ABS(DD71-DD$2)/MAX($B$2:$CW$2)</f>
        <v>4.6511627906976744E-2</v>
      </c>
      <c r="EG71">
        <f t="shared" ref="EG71" si="290">ABS(DE71-DE$2)/MAX($B$2:$CW$2)</f>
        <v>3.2558139534883686E-2</v>
      </c>
      <c r="EH71">
        <f t="shared" ref="EH71" si="291">ABS(DF71-DF$2)/MAX($B$2:$CW$2)</f>
        <v>1.6279069767441843E-2</v>
      </c>
      <c r="EI71">
        <f t="shared" ref="EI71" si="292">ABS(DG71-DG$2)/MAX($B$2:$CW$2)</f>
        <v>2.3255813953488372E-2</v>
      </c>
      <c r="EJ71" s="1">
        <f>SUM(DZ71:EI71)</f>
        <v>0.30697674418604648</v>
      </c>
    </row>
    <row r="72" spans="1:140" x14ac:dyDescent="0.35">
      <c r="A72" t="s">
        <v>112</v>
      </c>
      <c r="B72">
        <v>0</v>
      </c>
      <c r="C72">
        <v>0</v>
      </c>
      <c r="D72">
        <v>112</v>
      </c>
      <c r="E72">
        <v>2</v>
      </c>
      <c r="F72">
        <v>100</v>
      </c>
      <c r="G72">
        <v>33</v>
      </c>
      <c r="H72">
        <v>55</v>
      </c>
      <c r="I72">
        <v>53</v>
      </c>
      <c r="J72">
        <v>23</v>
      </c>
      <c r="K72">
        <v>12</v>
      </c>
      <c r="L72">
        <v>0</v>
      </c>
      <c r="M72">
        <v>0</v>
      </c>
      <c r="N72">
        <v>112</v>
      </c>
      <c r="O72">
        <v>2</v>
      </c>
      <c r="P72">
        <v>100</v>
      </c>
      <c r="Q72">
        <v>33</v>
      </c>
      <c r="R72">
        <v>55</v>
      </c>
      <c r="S72">
        <v>53</v>
      </c>
      <c r="T72">
        <v>23</v>
      </c>
      <c r="U72">
        <v>12</v>
      </c>
      <c r="V72">
        <v>0</v>
      </c>
      <c r="W72">
        <v>0</v>
      </c>
      <c r="X72">
        <v>112</v>
      </c>
      <c r="Y72">
        <v>2</v>
      </c>
      <c r="Z72">
        <v>100</v>
      </c>
      <c r="AA72">
        <v>33</v>
      </c>
      <c r="AB72">
        <v>55</v>
      </c>
      <c r="AC72">
        <v>53</v>
      </c>
      <c r="AD72">
        <v>23</v>
      </c>
      <c r="AE72">
        <v>12</v>
      </c>
      <c r="AF72">
        <v>0</v>
      </c>
      <c r="AG72">
        <v>0</v>
      </c>
      <c r="AH72">
        <v>112</v>
      </c>
      <c r="AI72">
        <v>2</v>
      </c>
      <c r="AJ72">
        <v>100</v>
      </c>
      <c r="AK72">
        <v>33</v>
      </c>
      <c r="AL72">
        <v>55</v>
      </c>
      <c r="AM72">
        <v>53</v>
      </c>
      <c r="AN72">
        <v>23</v>
      </c>
      <c r="AO72">
        <v>12</v>
      </c>
      <c r="AP72">
        <v>0</v>
      </c>
      <c r="AQ72">
        <v>0</v>
      </c>
      <c r="AR72">
        <v>112</v>
      </c>
      <c r="AS72">
        <v>2</v>
      </c>
      <c r="AT72">
        <v>100</v>
      </c>
      <c r="AU72">
        <v>33</v>
      </c>
      <c r="AV72">
        <v>55</v>
      </c>
      <c r="AW72">
        <v>53</v>
      </c>
      <c r="AX72">
        <v>23</v>
      </c>
      <c r="AY72">
        <v>12</v>
      </c>
      <c r="AZ72">
        <v>0</v>
      </c>
      <c r="BA72">
        <v>0</v>
      </c>
      <c r="BB72">
        <v>112</v>
      </c>
      <c r="BC72">
        <v>2</v>
      </c>
      <c r="BD72">
        <v>100</v>
      </c>
      <c r="BE72">
        <v>33</v>
      </c>
      <c r="BF72">
        <v>55</v>
      </c>
      <c r="BG72">
        <v>53</v>
      </c>
      <c r="BH72">
        <v>23</v>
      </c>
      <c r="BI72">
        <v>12</v>
      </c>
      <c r="BJ72">
        <v>0</v>
      </c>
      <c r="BK72">
        <v>0</v>
      </c>
      <c r="BL72">
        <v>112</v>
      </c>
      <c r="BM72">
        <v>2</v>
      </c>
      <c r="BN72">
        <v>100</v>
      </c>
      <c r="BO72">
        <v>33</v>
      </c>
      <c r="BP72">
        <v>55</v>
      </c>
      <c r="BQ72">
        <v>53</v>
      </c>
      <c r="BR72">
        <v>23</v>
      </c>
      <c r="BS72">
        <v>12</v>
      </c>
      <c r="BT72">
        <v>0</v>
      </c>
      <c r="BU72">
        <v>0</v>
      </c>
      <c r="BV72">
        <v>112</v>
      </c>
      <c r="BW72">
        <v>2</v>
      </c>
      <c r="BX72">
        <v>100</v>
      </c>
      <c r="BY72">
        <v>33</v>
      </c>
      <c r="BZ72">
        <v>55</v>
      </c>
      <c r="CA72">
        <v>53</v>
      </c>
      <c r="CB72">
        <v>23</v>
      </c>
      <c r="CC72">
        <v>12</v>
      </c>
      <c r="CD72">
        <v>0</v>
      </c>
      <c r="CE72">
        <v>0</v>
      </c>
      <c r="CF72">
        <v>112</v>
      </c>
      <c r="CG72">
        <v>2</v>
      </c>
      <c r="CH72">
        <v>100</v>
      </c>
      <c r="CI72">
        <v>33</v>
      </c>
      <c r="CJ72">
        <v>55</v>
      </c>
      <c r="CK72">
        <v>53</v>
      </c>
      <c r="CL72">
        <v>23</v>
      </c>
      <c r="CM72">
        <v>12</v>
      </c>
      <c r="CN72">
        <v>0</v>
      </c>
      <c r="CO72">
        <v>0</v>
      </c>
      <c r="CP72">
        <v>112</v>
      </c>
      <c r="CQ72">
        <v>2</v>
      </c>
      <c r="CR72">
        <v>100</v>
      </c>
      <c r="CS72">
        <v>33</v>
      </c>
      <c r="CT72">
        <v>55</v>
      </c>
      <c r="CU72">
        <v>53</v>
      </c>
      <c r="CV72">
        <v>23</v>
      </c>
      <c r="CW72">
        <v>12</v>
      </c>
      <c r="CX72" s="7">
        <v>2.4</v>
      </c>
      <c r="CY72" s="6">
        <v>-2.2000000000000002</v>
      </c>
      <c r="CZ72" s="6">
        <v>111.6</v>
      </c>
      <c r="DA72" s="6">
        <v>4.9000000000000004</v>
      </c>
      <c r="DB72" s="6">
        <v>99.6</v>
      </c>
      <c r="DC72" s="6">
        <v>31.5</v>
      </c>
      <c r="DD72" s="6">
        <v>54.8</v>
      </c>
      <c r="DE72" s="6">
        <v>54</v>
      </c>
      <c r="DF72" s="6">
        <v>24.4</v>
      </c>
      <c r="DG72" s="6">
        <v>12.7</v>
      </c>
      <c r="DI72">
        <f t="shared" ref="DI72:DI75" si="293">ABS((CX72-CX3))</f>
        <v>2.4</v>
      </c>
      <c r="DJ72">
        <f t="shared" ref="DJ72:DJ75" si="294">ABS((CY72-CY3))</f>
        <v>2.2000000000000002</v>
      </c>
      <c r="DK72">
        <f t="shared" ref="DK72:DK75" si="295">ABS((CZ72-CZ3))</f>
        <v>0.40000000000000568</v>
      </c>
      <c r="DL72">
        <f t="shared" ref="DL72:DL75" si="296">ABS((DA72-DA3))</f>
        <v>2.9000000000000004</v>
      </c>
      <c r="DM72">
        <f t="shared" ref="DM72:DM75" si="297">ABS((DB72-DB3))</f>
        <v>0.40000000000000568</v>
      </c>
      <c r="DN72">
        <f t="shared" ref="DN72:DN75" si="298">ABS((DC72-DC3))</f>
        <v>1.5</v>
      </c>
      <c r="DO72">
        <f t="shared" ref="DO72:DO75" si="299">ABS((DD72-DD3))</f>
        <v>0.20000000000000284</v>
      </c>
      <c r="DP72">
        <f t="shared" ref="DP72:DP75" si="300">ABS((DE72-DE3))</f>
        <v>1</v>
      </c>
      <c r="DQ72">
        <f t="shared" ref="DQ72:DQ75" si="301">ABS((DF72-DF3))</f>
        <v>1.3999999999999986</v>
      </c>
      <c r="DR72">
        <f t="shared" ref="DR72:DR75" si="302">ABS((DG72-DG3))</f>
        <v>0.69999999999999929</v>
      </c>
      <c r="DS72" s="1">
        <f t="shared" ref="DS72:DS75" si="303">SUM(DI72:DR72)</f>
        <v>13.100000000000012</v>
      </c>
      <c r="DZ72">
        <f>ABS(CX72-CX$3)/MAX($B$3:$CW$3)</f>
        <v>2.1428571428571429E-2</v>
      </c>
      <c r="EA72">
        <f t="shared" ref="EA72" si="304">ABS(CY72-CY$3)/MAX($B$3:$CW$3)</f>
        <v>1.9642857142857146E-2</v>
      </c>
      <c r="EB72">
        <f t="shared" ref="EB72" si="305">ABS(CZ72-CZ$3)/MAX($B$3:$CW$3)</f>
        <v>3.5714285714286221E-3</v>
      </c>
      <c r="EC72">
        <f t="shared" ref="EC72" si="306">ABS(DA72-DA$3)/MAX($B$3:$CW$3)</f>
        <v>2.5892857142857145E-2</v>
      </c>
      <c r="ED72">
        <f t="shared" ref="ED72" si="307">ABS(DB72-DB$3)/MAX($B$3:$CW$3)</f>
        <v>3.5714285714286221E-3</v>
      </c>
      <c r="EE72">
        <f t="shared" ref="EE72" si="308">ABS(DC72-DC$3)/MAX($B$3:$CW$3)</f>
        <v>1.3392857142857142E-2</v>
      </c>
      <c r="EF72">
        <f t="shared" ref="EF72" si="309">ABS(DD72-DD$3)/MAX($B$3:$CW$3)</f>
        <v>1.785714285714311E-3</v>
      </c>
      <c r="EG72">
        <f t="shared" ref="EG72" si="310">ABS(DE72-DE$3)/MAX($B$3:$CW$3)</f>
        <v>8.9285714285714281E-3</v>
      </c>
      <c r="EH72">
        <f t="shared" ref="EH72" si="311">ABS(DF72-DF$3)/MAX($B$3:$CW$3)</f>
        <v>1.2499999999999987E-2</v>
      </c>
      <c r="EI72">
        <f t="shared" ref="EI72" si="312">ABS(DG72-DG$3)/MAX($B$3:$CW$3)</f>
        <v>6.2499999999999934E-3</v>
      </c>
      <c r="EJ72" s="1">
        <f t="shared" ref="EJ72:EJ75" si="313">SUM(DZ72:EI72)</f>
        <v>0.11696428571428581</v>
      </c>
    </row>
    <row r="73" spans="1:140" x14ac:dyDescent="0.35">
      <c r="A73" t="s">
        <v>113</v>
      </c>
      <c r="B73">
        <v>916</v>
      </c>
      <c r="C73">
        <v>939</v>
      </c>
      <c r="D73">
        <v>305</v>
      </c>
      <c r="E73">
        <v>952</v>
      </c>
      <c r="F73">
        <v>128</v>
      </c>
      <c r="G73">
        <v>81</v>
      </c>
      <c r="H73">
        <v>908</v>
      </c>
      <c r="I73">
        <v>744</v>
      </c>
      <c r="J73">
        <v>333</v>
      </c>
      <c r="K73">
        <v>862</v>
      </c>
      <c r="L73">
        <v>606</v>
      </c>
      <c r="M73">
        <v>352</v>
      </c>
      <c r="N73">
        <v>233</v>
      </c>
      <c r="O73">
        <v>502</v>
      </c>
      <c r="P73">
        <v>693</v>
      </c>
      <c r="Q73">
        <v>828</v>
      </c>
      <c r="R73">
        <v>189</v>
      </c>
      <c r="S73">
        <v>89</v>
      </c>
      <c r="T73">
        <v>705</v>
      </c>
      <c r="U73">
        <v>486</v>
      </c>
      <c r="V73">
        <v>142</v>
      </c>
      <c r="W73">
        <v>575</v>
      </c>
      <c r="X73">
        <v>972</v>
      </c>
      <c r="Y73">
        <v>222</v>
      </c>
      <c r="Z73">
        <v>593</v>
      </c>
      <c r="AA73">
        <v>259</v>
      </c>
      <c r="AB73">
        <v>492</v>
      </c>
      <c r="AC73">
        <v>227</v>
      </c>
      <c r="AD73">
        <v>195</v>
      </c>
      <c r="AE73">
        <v>374</v>
      </c>
      <c r="AF73">
        <v>539</v>
      </c>
      <c r="AG73">
        <v>2</v>
      </c>
      <c r="AH73">
        <v>865</v>
      </c>
      <c r="AI73">
        <v>308</v>
      </c>
      <c r="AJ73">
        <v>118</v>
      </c>
      <c r="AK73">
        <v>126</v>
      </c>
      <c r="AL73">
        <v>881</v>
      </c>
      <c r="AM73">
        <v>126</v>
      </c>
      <c r="AN73">
        <v>645</v>
      </c>
      <c r="AO73">
        <v>868</v>
      </c>
      <c r="AP73">
        <v>943</v>
      </c>
      <c r="AQ73">
        <v>483</v>
      </c>
      <c r="AR73">
        <v>701</v>
      </c>
      <c r="AS73">
        <v>190</v>
      </c>
      <c r="AT73">
        <v>251</v>
      </c>
      <c r="AU73">
        <v>872</v>
      </c>
      <c r="AV73">
        <v>905</v>
      </c>
      <c r="AW73">
        <v>632</v>
      </c>
      <c r="AX73">
        <v>842</v>
      </c>
      <c r="AY73">
        <v>42</v>
      </c>
      <c r="AZ73">
        <v>517</v>
      </c>
      <c r="BA73">
        <v>950</v>
      </c>
      <c r="BB73">
        <v>891</v>
      </c>
      <c r="BC73">
        <v>536</v>
      </c>
      <c r="BD73">
        <v>462</v>
      </c>
      <c r="BE73">
        <v>916</v>
      </c>
      <c r="BF73">
        <v>939</v>
      </c>
      <c r="BG73">
        <v>305</v>
      </c>
      <c r="BH73">
        <v>952</v>
      </c>
      <c r="BI73">
        <v>128</v>
      </c>
      <c r="BJ73">
        <v>81</v>
      </c>
      <c r="BK73">
        <v>908</v>
      </c>
      <c r="BL73">
        <v>744</v>
      </c>
      <c r="BM73">
        <v>333</v>
      </c>
      <c r="BN73">
        <v>862</v>
      </c>
      <c r="BO73">
        <v>606</v>
      </c>
      <c r="BP73">
        <v>352</v>
      </c>
      <c r="BQ73">
        <v>233</v>
      </c>
      <c r="BR73">
        <v>502</v>
      </c>
      <c r="BS73">
        <v>693</v>
      </c>
      <c r="BT73">
        <v>828</v>
      </c>
      <c r="BU73">
        <v>189</v>
      </c>
      <c r="BV73">
        <v>89</v>
      </c>
      <c r="BW73">
        <v>705</v>
      </c>
      <c r="BX73">
        <v>486</v>
      </c>
      <c r="BY73">
        <v>142</v>
      </c>
      <c r="BZ73">
        <v>575</v>
      </c>
      <c r="CA73">
        <v>972</v>
      </c>
      <c r="CB73">
        <v>222</v>
      </c>
      <c r="CC73">
        <v>593</v>
      </c>
      <c r="CD73">
        <v>259</v>
      </c>
      <c r="CE73">
        <v>492</v>
      </c>
      <c r="CF73">
        <v>227</v>
      </c>
      <c r="CG73">
        <v>195</v>
      </c>
      <c r="CH73">
        <v>374</v>
      </c>
      <c r="CI73">
        <v>539</v>
      </c>
      <c r="CJ73">
        <v>2</v>
      </c>
      <c r="CK73">
        <v>865</v>
      </c>
      <c r="CL73">
        <v>308</v>
      </c>
      <c r="CM73">
        <v>118</v>
      </c>
      <c r="CN73">
        <v>126</v>
      </c>
      <c r="CO73">
        <v>881</v>
      </c>
      <c r="CP73">
        <v>126</v>
      </c>
      <c r="CQ73">
        <v>645</v>
      </c>
      <c r="CR73">
        <v>868</v>
      </c>
      <c r="CS73">
        <v>943</v>
      </c>
      <c r="CT73">
        <v>483</v>
      </c>
      <c r="CU73">
        <v>701</v>
      </c>
      <c r="CV73">
        <v>190</v>
      </c>
      <c r="CW73">
        <v>251</v>
      </c>
      <c r="CX73" s="7">
        <v>511.2</v>
      </c>
      <c r="CY73" s="6">
        <v>486.1</v>
      </c>
      <c r="CZ73" s="6">
        <v>495</v>
      </c>
      <c r="DA73" s="6">
        <v>435.5</v>
      </c>
      <c r="DB73" s="6">
        <v>519.6</v>
      </c>
      <c r="DC73" s="6">
        <v>457.8</v>
      </c>
      <c r="DD73" s="6">
        <v>461.4</v>
      </c>
      <c r="DE73" s="6">
        <v>457.2</v>
      </c>
      <c r="DF73" s="6">
        <v>514.5</v>
      </c>
      <c r="DG73" s="6">
        <v>459</v>
      </c>
      <c r="DI73">
        <f t="shared" si="293"/>
        <v>360.8</v>
      </c>
      <c r="DJ73">
        <f t="shared" si="294"/>
        <v>418.9</v>
      </c>
      <c r="DK73">
        <f t="shared" si="295"/>
        <v>137</v>
      </c>
      <c r="DL73">
        <f t="shared" si="296"/>
        <v>406.5</v>
      </c>
      <c r="DM73">
        <f t="shared" si="297"/>
        <v>477.6</v>
      </c>
      <c r="DN73">
        <f t="shared" si="298"/>
        <v>59.199999999999989</v>
      </c>
      <c r="DO73">
        <f t="shared" si="299"/>
        <v>488.6</v>
      </c>
      <c r="DP73">
        <f t="shared" si="300"/>
        <v>433.8</v>
      </c>
      <c r="DQ73">
        <f t="shared" si="301"/>
        <v>21.5</v>
      </c>
      <c r="DR73">
        <f t="shared" si="302"/>
        <v>3</v>
      </c>
      <c r="DS73" s="1">
        <f t="shared" si="303"/>
        <v>2806.9000000000005</v>
      </c>
      <c r="DZ73">
        <f>ABS(CX73-CX$4)/MAX($B$4:$CW$4)</f>
        <v>0.37119341563786007</v>
      </c>
      <c r="EA73">
        <f t="shared" ref="EA73" si="314">ABS(CY73-CY$4)/MAX($B$4:$CW$4)</f>
        <v>0.43096707818930041</v>
      </c>
      <c r="EB73">
        <f t="shared" ref="EB73" si="315">ABS(CZ73-CZ$4)/MAX($B$4:$CW$4)</f>
        <v>0.14094650205761317</v>
      </c>
      <c r="EC73">
        <f t="shared" ref="EC73" si="316">ABS(DA73-DA$4)/MAX($B$4:$CW$4)</f>
        <v>0.4182098765432099</v>
      </c>
      <c r="ED73">
        <f t="shared" ref="ED73" si="317">ABS(DB73-DB$4)/MAX($B$4:$CW$4)</f>
        <v>0.49135802469135803</v>
      </c>
      <c r="EE73">
        <f t="shared" ref="EE73" si="318">ABS(DC73-DC$4)/MAX($B$4:$CW$4)</f>
        <v>6.0905349794238672E-2</v>
      </c>
      <c r="EF73">
        <f t="shared" ref="EF73" si="319">ABS(DD73-DD$4)/MAX($B$4:$CW$4)</f>
        <v>0.50267489711934155</v>
      </c>
      <c r="EG73">
        <f t="shared" ref="EG73" si="320">ABS(DE73-DE$4)/MAX($B$4:$CW$4)</f>
        <v>0.4462962962962963</v>
      </c>
      <c r="EH73">
        <f t="shared" ref="EH73" si="321">ABS(DF73-DF$4)/MAX($B$4:$CW$4)</f>
        <v>2.2119341563786008E-2</v>
      </c>
      <c r="EI73">
        <f t="shared" ref="EI73" si="322">ABS(DG73-DG$4)/MAX($B$4:$CW$4)</f>
        <v>3.0864197530864196E-3</v>
      </c>
      <c r="EJ73" s="1">
        <f t="shared" si="313"/>
        <v>2.8877572016460906</v>
      </c>
    </row>
    <row r="74" spans="1:140" x14ac:dyDescent="0.35">
      <c r="A74" t="s">
        <v>114</v>
      </c>
      <c r="B74">
        <v>77</v>
      </c>
      <c r="C74">
        <v>322</v>
      </c>
      <c r="D74">
        <v>260</v>
      </c>
      <c r="E74">
        <v>233</v>
      </c>
      <c r="F74">
        <v>284</v>
      </c>
      <c r="G74">
        <v>399</v>
      </c>
      <c r="H74">
        <v>370</v>
      </c>
      <c r="I74">
        <v>209</v>
      </c>
      <c r="J74">
        <v>368</v>
      </c>
      <c r="K74">
        <v>240</v>
      </c>
      <c r="L74">
        <v>350</v>
      </c>
      <c r="M74">
        <v>402</v>
      </c>
      <c r="N74">
        <v>343</v>
      </c>
      <c r="O74">
        <v>204</v>
      </c>
      <c r="P74">
        <v>298</v>
      </c>
      <c r="Q74">
        <v>226</v>
      </c>
      <c r="R74">
        <v>235</v>
      </c>
      <c r="S74">
        <v>4</v>
      </c>
      <c r="T74">
        <v>478</v>
      </c>
      <c r="U74">
        <v>174</v>
      </c>
      <c r="V74">
        <v>451</v>
      </c>
      <c r="W74">
        <v>295</v>
      </c>
      <c r="X74">
        <v>77</v>
      </c>
      <c r="Y74">
        <v>322</v>
      </c>
      <c r="Z74">
        <v>260</v>
      </c>
      <c r="AA74">
        <v>233</v>
      </c>
      <c r="AB74">
        <v>284</v>
      </c>
      <c r="AC74">
        <v>399</v>
      </c>
      <c r="AD74">
        <v>370</v>
      </c>
      <c r="AE74">
        <v>209</v>
      </c>
      <c r="AF74">
        <v>368</v>
      </c>
      <c r="AG74">
        <v>240</v>
      </c>
      <c r="AH74">
        <v>350</v>
      </c>
      <c r="AI74">
        <v>402</v>
      </c>
      <c r="AJ74">
        <v>343</v>
      </c>
      <c r="AK74">
        <v>204</v>
      </c>
      <c r="AL74">
        <v>298</v>
      </c>
      <c r="AM74">
        <v>226</v>
      </c>
      <c r="AN74">
        <v>235</v>
      </c>
      <c r="AO74">
        <v>4</v>
      </c>
      <c r="AP74">
        <v>478</v>
      </c>
      <c r="AQ74">
        <v>174</v>
      </c>
      <c r="AR74">
        <v>451</v>
      </c>
      <c r="AS74">
        <v>295</v>
      </c>
      <c r="AT74">
        <v>77</v>
      </c>
      <c r="AU74">
        <v>322</v>
      </c>
      <c r="AV74">
        <v>260</v>
      </c>
      <c r="AW74">
        <v>233</v>
      </c>
      <c r="AX74">
        <v>284</v>
      </c>
      <c r="AY74">
        <v>399</v>
      </c>
      <c r="AZ74">
        <v>370</v>
      </c>
      <c r="BA74">
        <v>209</v>
      </c>
      <c r="BB74">
        <v>368</v>
      </c>
      <c r="BC74">
        <v>240</v>
      </c>
      <c r="BD74">
        <v>350</v>
      </c>
      <c r="BE74">
        <v>402</v>
      </c>
      <c r="BF74">
        <v>343</v>
      </c>
      <c r="BG74">
        <v>204</v>
      </c>
      <c r="BH74">
        <v>298</v>
      </c>
      <c r="BI74">
        <v>226</v>
      </c>
      <c r="BJ74">
        <v>235</v>
      </c>
      <c r="BK74">
        <v>4</v>
      </c>
      <c r="BL74">
        <v>478</v>
      </c>
      <c r="BM74">
        <v>174</v>
      </c>
      <c r="BN74">
        <v>451</v>
      </c>
      <c r="BO74">
        <v>295</v>
      </c>
      <c r="BP74">
        <v>77</v>
      </c>
      <c r="BQ74">
        <v>322</v>
      </c>
      <c r="BR74">
        <v>260</v>
      </c>
      <c r="BS74">
        <v>233</v>
      </c>
      <c r="BT74">
        <v>284</v>
      </c>
      <c r="BU74">
        <v>399</v>
      </c>
      <c r="BV74">
        <v>370</v>
      </c>
      <c r="BW74">
        <v>209</v>
      </c>
      <c r="BX74">
        <v>368</v>
      </c>
      <c r="BY74">
        <v>240</v>
      </c>
      <c r="BZ74">
        <v>350</v>
      </c>
      <c r="CA74">
        <v>402</v>
      </c>
      <c r="CB74">
        <v>343</v>
      </c>
      <c r="CC74">
        <v>204</v>
      </c>
      <c r="CD74">
        <v>298</v>
      </c>
      <c r="CE74">
        <v>226</v>
      </c>
      <c r="CF74">
        <v>235</v>
      </c>
      <c r="CG74">
        <v>4</v>
      </c>
      <c r="CH74">
        <v>478</v>
      </c>
      <c r="CI74">
        <v>174</v>
      </c>
      <c r="CJ74">
        <v>451</v>
      </c>
      <c r="CK74">
        <v>295</v>
      </c>
      <c r="CL74">
        <v>77</v>
      </c>
      <c r="CM74">
        <v>322</v>
      </c>
      <c r="CN74">
        <v>260</v>
      </c>
      <c r="CO74">
        <v>233</v>
      </c>
      <c r="CP74">
        <v>284</v>
      </c>
      <c r="CQ74">
        <v>399</v>
      </c>
      <c r="CR74">
        <v>370</v>
      </c>
      <c r="CS74">
        <v>209</v>
      </c>
      <c r="CT74">
        <v>368</v>
      </c>
      <c r="CU74">
        <v>240</v>
      </c>
      <c r="CV74">
        <v>350</v>
      </c>
      <c r="CW74">
        <v>402</v>
      </c>
      <c r="CX74" s="7">
        <v>246.5</v>
      </c>
      <c r="CY74" s="6">
        <v>274.39999999999998</v>
      </c>
      <c r="CZ74" s="6">
        <v>264.3</v>
      </c>
      <c r="DA74" s="6">
        <v>286.7</v>
      </c>
      <c r="DB74" s="6">
        <v>268.5</v>
      </c>
      <c r="DC74" s="6">
        <v>273.2</v>
      </c>
      <c r="DD74" s="6">
        <v>292.89999999999998</v>
      </c>
      <c r="DE74" s="6">
        <v>281</v>
      </c>
      <c r="DF74" s="6">
        <v>276.2</v>
      </c>
      <c r="DG74" s="6">
        <v>258.7</v>
      </c>
      <c r="DI74">
        <f t="shared" si="293"/>
        <v>96.5</v>
      </c>
      <c r="DJ74">
        <f t="shared" si="294"/>
        <v>70.399999999999977</v>
      </c>
      <c r="DK74">
        <f t="shared" si="295"/>
        <v>33.699999999999989</v>
      </c>
      <c r="DL74">
        <f t="shared" si="296"/>
        <v>60.699999999999989</v>
      </c>
      <c r="DM74">
        <f t="shared" si="297"/>
        <v>33.5</v>
      </c>
      <c r="DN74">
        <f t="shared" si="298"/>
        <v>269.2</v>
      </c>
      <c r="DO74">
        <f t="shared" si="299"/>
        <v>185.10000000000002</v>
      </c>
      <c r="DP74">
        <f t="shared" si="300"/>
        <v>107</v>
      </c>
      <c r="DQ74">
        <f t="shared" si="301"/>
        <v>174.8</v>
      </c>
      <c r="DR74">
        <f t="shared" si="302"/>
        <v>36.300000000000011</v>
      </c>
      <c r="DS74" s="1">
        <f t="shared" si="303"/>
        <v>1067.2</v>
      </c>
      <c r="DZ74">
        <f>ABS(CX74-CX$5)/MAX($B$5:$CW$5)</f>
        <v>0.20188284518828453</v>
      </c>
      <c r="EA74">
        <f t="shared" ref="EA74" si="323">ABS(CY74-CY$5)/MAX($B$5:$CW$5)</f>
        <v>0.14728033472803342</v>
      </c>
      <c r="EB74">
        <f t="shared" ref="EB74" si="324">ABS(CZ74-CZ$5)/MAX($B$5:$CW$5)</f>
        <v>7.0502092050209186E-2</v>
      </c>
      <c r="EC74">
        <f t="shared" ref="EC74" si="325">ABS(DA74-DA$5)/MAX($B$5:$CW$5)</f>
        <v>0.12698744769874476</v>
      </c>
      <c r="ED74">
        <f t="shared" ref="ED74" si="326">ABS(DB74-DB$5)/MAX($B$5:$CW$5)</f>
        <v>7.0083682008368203E-2</v>
      </c>
      <c r="EE74">
        <f t="shared" ref="EE74" si="327">ABS(DC74-DC$5)/MAX($B$5:$CW$5)</f>
        <v>0.56317991631799158</v>
      </c>
      <c r="EF74">
        <f t="shared" ref="EF74" si="328">ABS(DD74-DD$5)/MAX($B$5:$CW$5)</f>
        <v>0.38723849372384944</v>
      </c>
      <c r="EG74">
        <f t="shared" ref="EG74" si="329">ABS(DE74-DE$5)/MAX($B$5:$CW$5)</f>
        <v>0.22384937238493724</v>
      </c>
      <c r="EH74">
        <f t="shared" ref="EH74" si="330">ABS(DF74-DF$5)/MAX($B$5:$CW$5)</f>
        <v>0.36569037656903769</v>
      </c>
      <c r="EI74">
        <f t="shared" ref="EI74" si="331">ABS(DG74-DG$5)/MAX($B$5:$CW$5)</f>
        <v>7.5941422594142285E-2</v>
      </c>
      <c r="EJ74" s="1">
        <f t="shared" si="313"/>
        <v>2.2326359832635982</v>
      </c>
    </row>
    <row r="75" spans="1:140" x14ac:dyDescent="0.35">
      <c r="A75" t="s">
        <v>115</v>
      </c>
      <c r="B75">
        <v>779</v>
      </c>
      <c r="C75">
        <v>532</v>
      </c>
      <c r="D75">
        <v>86</v>
      </c>
      <c r="E75">
        <v>290</v>
      </c>
      <c r="F75">
        <v>534</v>
      </c>
      <c r="G75">
        <v>505</v>
      </c>
      <c r="H75">
        <v>249</v>
      </c>
      <c r="I75">
        <v>503</v>
      </c>
      <c r="J75">
        <v>991</v>
      </c>
      <c r="K75">
        <v>705</v>
      </c>
      <c r="L75">
        <v>357</v>
      </c>
      <c r="M75">
        <v>112</v>
      </c>
      <c r="N75">
        <v>927</v>
      </c>
      <c r="O75">
        <v>582</v>
      </c>
      <c r="P75">
        <v>746</v>
      </c>
      <c r="Q75">
        <v>677</v>
      </c>
      <c r="R75">
        <v>405</v>
      </c>
      <c r="S75">
        <v>758</v>
      </c>
      <c r="T75">
        <v>412</v>
      </c>
      <c r="U75">
        <v>890</v>
      </c>
      <c r="V75">
        <v>944</v>
      </c>
      <c r="W75">
        <v>818</v>
      </c>
      <c r="X75">
        <v>293</v>
      </c>
      <c r="Y75">
        <v>575</v>
      </c>
      <c r="Z75">
        <v>10</v>
      </c>
      <c r="AA75">
        <v>294</v>
      </c>
      <c r="AB75">
        <v>593</v>
      </c>
      <c r="AC75">
        <v>380</v>
      </c>
      <c r="AD75">
        <v>133</v>
      </c>
      <c r="AE75">
        <v>886</v>
      </c>
      <c r="AF75">
        <v>956</v>
      </c>
      <c r="AG75">
        <v>886</v>
      </c>
      <c r="AH75">
        <v>506</v>
      </c>
      <c r="AI75">
        <v>581</v>
      </c>
      <c r="AJ75">
        <v>558</v>
      </c>
      <c r="AK75">
        <v>879</v>
      </c>
      <c r="AL75">
        <v>322</v>
      </c>
      <c r="AM75">
        <v>613</v>
      </c>
      <c r="AN75">
        <v>613</v>
      </c>
      <c r="AO75">
        <v>888</v>
      </c>
      <c r="AP75">
        <v>592</v>
      </c>
      <c r="AQ75">
        <v>192</v>
      </c>
      <c r="AR75">
        <v>249</v>
      </c>
      <c r="AS75">
        <v>293</v>
      </c>
      <c r="AT75">
        <v>283</v>
      </c>
      <c r="AU75">
        <v>156</v>
      </c>
      <c r="AV75">
        <v>336</v>
      </c>
      <c r="AW75">
        <v>192</v>
      </c>
      <c r="AX75">
        <v>226</v>
      </c>
      <c r="AY75">
        <v>634</v>
      </c>
      <c r="AZ75">
        <v>713</v>
      </c>
      <c r="BA75">
        <v>961</v>
      </c>
      <c r="BB75">
        <v>41</v>
      </c>
      <c r="BC75">
        <v>988</v>
      </c>
      <c r="BD75">
        <v>628</v>
      </c>
      <c r="BE75">
        <v>286</v>
      </c>
      <c r="BF75">
        <v>90</v>
      </c>
      <c r="BG75">
        <v>350</v>
      </c>
      <c r="BH75">
        <v>312</v>
      </c>
      <c r="BI75">
        <v>127</v>
      </c>
      <c r="BJ75">
        <v>862</v>
      </c>
      <c r="BK75">
        <v>433</v>
      </c>
      <c r="BL75">
        <v>311</v>
      </c>
      <c r="BM75">
        <v>795</v>
      </c>
      <c r="BN75">
        <v>94</v>
      </c>
      <c r="BO75">
        <v>249</v>
      </c>
      <c r="BP75">
        <v>293</v>
      </c>
      <c r="BQ75">
        <v>825</v>
      </c>
      <c r="BR75">
        <v>986</v>
      </c>
      <c r="BS75">
        <v>360</v>
      </c>
      <c r="BT75">
        <v>590</v>
      </c>
      <c r="BU75">
        <v>435</v>
      </c>
      <c r="BV75">
        <v>713</v>
      </c>
      <c r="BW75">
        <v>40</v>
      </c>
      <c r="BX75">
        <v>881</v>
      </c>
      <c r="BY75">
        <v>942</v>
      </c>
      <c r="BZ75">
        <v>910</v>
      </c>
      <c r="CA75">
        <v>663</v>
      </c>
      <c r="CB75">
        <v>815</v>
      </c>
      <c r="CC75">
        <v>523</v>
      </c>
      <c r="CD75">
        <v>901</v>
      </c>
      <c r="CE75">
        <v>500</v>
      </c>
      <c r="CF75">
        <v>637</v>
      </c>
      <c r="CG75">
        <v>972</v>
      </c>
      <c r="CH75">
        <v>294</v>
      </c>
      <c r="CI75">
        <v>815</v>
      </c>
      <c r="CJ75">
        <v>860</v>
      </c>
      <c r="CK75">
        <v>736</v>
      </c>
      <c r="CL75">
        <v>929</v>
      </c>
      <c r="CM75">
        <v>650</v>
      </c>
      <c r="CN75">
        <v>396</v>
      </c>
      <c r="CO75">
        <v>541</v>
      </c>
      <c r="CP75">
        <v>471</v>
      </c>
      <c r="CQ75">
        <v>370</v>
      </c>
      <c r="CR75">
        <v>727</v>
      </c>
      <c r="CS75">
        <v>639</v>
      </c>
      <c r="CT75">
        <v>626</v>
      </c>
      <c r="CU75">
        <v>955</v>
      </c>
      <c r="CV75">
        <v>31</v>
      </c>
      <c r="CW75">
        <v>250</v>
      </c>
      <c r="CX75" s="7">
        <v>549</v>
      </c>
      <c r="CY75" s="6">
        <v>533.29999999999995</v>
      </c>
      <c r="CZ75" s="6">
        <v>537.1</v>
      </c>
      <c r="DA75" s="6">
        <v>590.79999999999995</v>
      </c>
      <c r="DB75" s="6">
        <v>571.1</v>
      </c>
      <c r="DC75" s="6">
        <v>567.1</v>
      </c>
      <c r="DD75" s="6">
        <v>558.70000000000005</v>
      </c>
      <c r="DE75" s="6">
        <v>559.5</v>
      </c>
      <c r="DF75" s="6">
        <v>600.5</v>
      </c>
      <c r="DG75" s="6">
        <v>512</v>
      </c>
      <c r="DI75">
        <f t="shared" si="293"/>
        <v>362</v>
      </c>
      <c r="DJ75">
        <f t="shared" si="294"/>
        <v>154.70000000000005</v>
      </c>
      <c r="DK75">
        <f t="shared" si="295"/>
        <v>139.89999999999998</v>
      </c>
      <c r="DL75">
        <f t="shared" si="296"/>
        <v>197.20000000000005</v>
      </c>
      <c r="DM75">
        <f t="shared" si="297"/>
        <v>78.899999999999977</v>
      </c>
      <c r="DN75">
        <f t="shared" si="298"/>
        <v>166.89999999999998</v>
      </c>
      <c r="DO75">
        <f t="shared" si="299"/>
        <v>15.700000000000045</v>
      </c>
      <c r="DP75">
        <f t="shared" si="300"/>
        <v>222.5</v>
      </c>
      <c r="DQ75">
        <f t="shared" si="301"/>
        <v>86.5</v>
      </c>
      <c r="DR75">
        <f t="shared" si="302"/>
        <v>386</v>
      </c>
      <c r="DS75" s="1">
        <f t="shared" si="303"/>
        <v>1810.3</v>
      </c>
      <c r="DZ75">
        <f>ABS(CX75-CX$6)/MAX($B$6:$CW$6)</f>
        <v>0.36528758829465185</v>
      </c>
      <c r="EA75">
        <f t="shared" ref="EA75" si="332">ABS(CY75-CY$6)/MAX($B$6:$CW$6)</f>
        <v>0.15610494450050458</v>
      </c>
      <c r="EB75">
        <f t="shared" ref="EB75" si="333">ABS(CZ75-CZ$6)/MAX($B$6:$CW$6)</f>
        <v>0.14117053481331984</v>
      </c>
      <c r="EC75">
        <f t="shared" ref="EC75" si="334">ABS(DA75-DA$6)/MAX($B$6:$CW$6)</f>
        <v>0.19899091826437945</v>
      </c>
      <c r="ED75">
        <f t="shared" ref="ED75" si="335">ABS(DB75-DB$6)/MAX($B$6:$CW$6)</f>
        <v>7.961654894046416E-2</v>
      </c>
      <c r="EE75">
        <f t="shared" ref="EE75" si="336">ABS(DC75-DC$6)/MAX($B$6:$CW$6)</f>
        <v>0.16841574167507567</v>
      </c>
      <c r="EF75">
        <f t="shared" ref="EF75" si="337">ABS(DD75-DD$6)/MAX($B$6:$CW$6)</f>
        <v>1.5842583249243234E-2</v>
      </c>
      <c r="EG75">
        <f t="shared" ref="EG75" si="338">ABS(DE75-DE$6)/MAX($B$6:$CW$6)</f>
        <v>0.22452068617558021</v>
      </c>
      <c r="EH75">
        <f t="shared" ref="EH75" si="339">ABS(DF75-DF$6)/MAX($B$6:$CW$6)</f>
        <v>8.7285570131180629E-2</v>
      </c>
      <c r="EI75">
        <f t="shared" ref="EI75" si="340">ABS(DG75-DG$6)/MAX($B$6:$CW$6)</f>
        <v>0.38950554994954589</v>
      </c>
      <c r="EJ75" s="1">
        <f t="shared" si="313"/>
        <v>1.8267406659939454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2FFB4-FA75-48EB-A112-A7777BD1A18D}">
  <dimension ref="A2:N64"/>
  <sheetViews>
    <sheetView topLeftCell="A37" workbookViewId="0">
      <selection activeCell="G70" sqref="G70"/>
    </sheetView>
  </sheetViews>
  <sheetFormatPr defaultRowHeight="14.5" x14ac:dyDescent="0.35"/>
  <cols>
    <col min="1" max="1" width="5.1796875" bestFit="1" customWidth="1"/>
    <col min="2" max="2" width="7" bestFit="1" customWidth="1"/>
    <col min="3" max="11" width="6.54296875" bestFit="1" customWidth="1"/>
    <col min="12" max="12" width="11.453125" bestFit="1" customWidth="1"/>
    <col min="13" max="13" width="10" bestFit="1" customWidth="1"/>
    <col min="14" max="14" width="2.1796875" bestFit="1" customWidth="1"/>
  </cols>
  <sheetData>
    <row r="2" spans="1:11" x14ac:dyDescent="0.35">
      <c r="A2" t="s">
        <v>0</v>
      </c>
      <c r="B2" t="s">
        <v>143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151</v>
      </c>
      <c r="K2" t="s">
        <v>152</v>
      </c>
    </row>
    <row r="3" spans="1:11" x14ac:dyDescent="0.35">
      <c r="A3" t="s">
        <v>111</v>
      </c>
      <c r="B3" s="8">
        <v>3</v>
      </c>
      <c r="C3" s="8">
        <v>12</v>
      </c>
      <c r="D3" s="8">
        <v>41</v>
      </c>
      <c r="E3" s="8">
        <v>2</v>
      </c>
      <c r="F3" s="8">
        <v>31</v>
      </c>
      <c r="G3" s="8">
        <v>2</v>
      </c>
      <c r="H3" s="8">
        <v>43</v>
      </c>
      <c r="I3" s="8">
        <v>43</v>
      </c>
      <c r="J3" s="8">
        <v>22</v>
      </c>
      <c r="K3" s="8">
        <v>32</v>
      </c>
    </row>
    <row r="4" spans="1:11" x14ac:dyDescent="0.35">
      <c r="A4" t="s">
        <v>112</v>
      </c>
      <c r="B4" s="8">
        <v>0</v>
      </c>
      <c r="C4" s="8">
        <v>0</v>
      </c>
      <c r="D4" s="8">
        <v>112</v>
      </c>
      <c r="E4" s="8">
        <v>2</v>
      </c>
      <c r="F4" s="8">
        <v>100</v>
      </c>
      <c r="G4" s="8">
        <v>33</v>
      </c>
      <c r="H4" s="8">
        <v>55</v>
      </c>
      <c r="I4" s="8">
        <v>53</v>
      </c>
      <c r="J4" s="8">
        <v>23</v>
      </c>
      <c r="K4" s="8">
        <v>12</v>
      </c>
    </row>
    <row r="5" spans="1:11" x14ac:dyDescent="0.35">
      <c r="A5" t="s">
        <v>113</v>
      </c>
      <c r="B5" s="8">
        <v>872</v>
      </c>
      <c r="C5" s="8">
        <v>905</v>
      </c>
      <c r="D5" s="8">
        <v>632</v>
      </c>
      <c r="E5" s="8">
        <v>842</v>
      </c>
      <c r="F5" s="8">
        <v>42</v>
      </c>
      <c r="G5" s="8">
        <v>517</v>
      </c>
      <c r="H5" s="8">
        <v>950</v>
      </c>
      <c r="I5" s="8">
        <v>891</v>
      </c>
      <c r="J5" s="8">
        <v>536</v>
      </c>
      <c r="K5" s="8">
        <v>462</v>
      </c>
    </row>
    <row r="6" spans="1:11" x14ac:dyDescent="0.35">
      <c r="A6" t="s">
        <v>114</v>
      </c>
      <c r="B6" s="8">
        <v>343</v>
      </c>
      <c r="C6" s="8">
        <v>204</v>
      </c>
      <c r="D6" s="8">
        <v>298</v>
      </c>
      <c r="E6" s="8">
        <v>226</v>
      </c>
      <c r="F6" s="8">
        <v>235</v>
      </c>
      <c r="G6" s="8">
        <v>4</v>
      </c>
      <c r="H6" s="8">
        <v>478</v>
      </c>
      <c r="I6" s="8">
        <v>174</v>
      </c>
      <c r="J6" s="8">
        <v>451</v>
      </c>
      <c r="K6" s="8">
        <v>295</v>
      </c>
    </row>
    <row r="7" spans="1:11" x14ac:dyDescent="0.35">
      <c r="A7" t="s">
        <v>115</v>
      </c>
      <c r="B7" s="8">
        <v>911</v>
      </c>
      <c r="C7" s="8">
        <v>688</v>
      </c>
      <c r="D7" s="8">
        <v>677</v>
      </c>
      <c r="E7" s="8">
        <v>788</v>
      </c>
      <c r="F7" s="8">
        <v>650</v>
      </c>
      <c r="G7" s="8">
        <v>734</v>
      </c>
      <c r="H7" s="8">
        <v>543</v>
      </c>
      <c r="I7" s="8">
        <v>337</v>
      </c>
      <c r="J7" s="8">
        <v>514</v>
      </c>
      <c r="K7" s="8">
        <v>126</v>
      </c>
    </row>
    <row r="10" spans="1:11" x14ac:dyDescent="0.35">
      <c r="B10" t="s">
        <v>140</v>
      </c>
    </row>
    <row r="11" spans="1:11" x14ac:dyDescent="0.35">
      <c r="A11" t="s">
        <v>0</v>
      </c>
      <c r="B11" t="s">
        <v>143</v>
      </c>
      <c r="C11" t="s">
        <v>144</v>
      </c>
      <c r="D11" t="s">
        <v>145</v>
      </c>
      <c r="E11" t="s">
        <v>146</v>
      </c>
      <c r="F11" t="s">
        <v>147</v>
      </c>
      <c r="G11" t="s">
        <v>148</v>
      </c>
      <c r="H11" t="s">
        <v>149</v>
      </c>
      <c r="I11" t="s">
        <v>150</v>
      </c>
      <c r="J11" t="s">
        <v>151</v>
      </c>
      <c r="K11" t="s">
        <v>152</v>
      </c>
    </row>
    <row r="12" spans="1:11" x14ac:dyDescent="0.35">
      <c r="A12" t="s">
        <v>111</v>
      </c>
      <c r="B12" s="8">
        <v>32</v>
      </c>
      <c r="C12" s="8">
        <v>32</v>
      </c>
      <c r="D12" s="8">
        <v>32</v>
      </c>
      <c r="E12" s="8">
        <v>32</v>
      </c>
      <c r="F12" s="8">
        <v>32</v>
      </c>
      <c r="G12" s="8">
        <v>32</v>
      </c>
      <c r="H12" s="8">
        <v>32</v>
      </c>
      <c r="I12" s="8">
        <v>32</v>
      </c>
      <c r="J12" s="8">
        <v>32</v>
      </c>
      <c r="K12" s="8">
        <v>32</v>
      </c>
    </row>
    <row r="13" spans="1:11" x14ac:dyDescent="0.35">
      <c r="A13" t="s">
        <v>112</v>
      </c>
      <c r="B13" s="8">
        <v>12</v>
      </c>
      <c r="C13" s="8">
        <v>12</v>
      </c>
      <c r="D13" s="8">
        <v>12</v>
      </c>
      <c r="E13" s="8">
        <v>12</v>
      </c>
      <c r="F13" s="8">
        <v>12</v>
      </c>
      <c r="G13" s="8">
        <v>12</v>
      </c>
      <c r="H13" s="8">
        <v>12</v>
      </c>
      <c r="I13" s="8">
        <v>12</v>
      </c>
      <c r="J13" s="8">
        <v>12</v>
      </c>
      <c r="K13" s="8">
        <v>12</v>
      </c>
    </row>
    <row r="14" spans="1:11" x14ac:dyDescent="0.35">
      <c r="A14" t="s">
        <v>113</v>
      </c>
      <c r="B14" s="8">
        <v>251</v>
      </c>
      <c r="C14" s="8">
        <v>251</v>
      </c>
      <c r="D14" s="8">
        <v>251</v>
      </c>
      <c r="E14" s="8">
        <v>251</v>
      </c>
      <c r="F14" s="8">
        <v>251</v>
      </c>
      <c r="G14" s="8">
        <v>251</v>
      </c>
      <c r="H14" s="8">
        <v>251</v>
      </c>
      <c r="I14" s="8">
        <v>251</v>
      </c>
      <c r="J14" s="8">
        <v>251</v>
      </c>
      <c r="K14" s="8">
        <v>251</v>
      </c>
    </row>
    <row r="15" spans="1:11" x14ac:dyDescent="0.35">
      <c r="A15" t="s">
        <v>114</v>
      </c>
      <c r="B15" s="8">
        <v>402</v>
      </c>
      <c r="C15" s="8">
        <v>402</v>
      </c>
      <c r="D15" s="8">
        <v>402</v>
      </c>
      <c r="E15" s="8">
        <v>402</v>
      </c>
      <c r="F15" s="8">
        <v>402</v>
      </c>
      <c r="G15" s="8">
        <v>402</v>
      </c>
      <c r="H15" s="8">
        <v>402</v>
      </c>
      <c r="I15" s="8">
        <v>402</v>
      </c>
      <c r="J15" s="8">
        <v>402</v>
      </c>
      <c r="K15" s="8">
        <v>402</v>
      </c>
    </row>
    <row r="16" spans="1:11" x14ac:dyDescent="0.35">
      <c r="A16" t="s">
        <v>115</v>
      </c>
      <c r="B16" s="8">
        <v>250</v>
      </c>
      <c r="C16" s="8">
        <v>250</v>
      </c>
      <c r="D16" s="8">
        <v>250</v>
      </c>
      <c r="E16" s="8">
        <v>250</v>
      </c>
      <c r="F16" s="8">
        <v>250</v>
      </c>
      <c r="G16" s="8">
        <v>250</v>
      </c>
      <c r="H16" s="8">
        <v>250</v>
      </c>
      <c r="I16" s="8">
        <v>250</v>
      </c>
      <c r="J16" s="8">
        <v>250</v>
      </c>
      <c r="K16" s="8">
        <v>250</v>
      </c>
    </row>
    <row r="19" spans="1:12" x14ac:dyDescent="0.35">
      <c r="B19" t="s">
        <v>116</v>
      </c>
    </row>
    <row r="20" spans="1:12" x14ac:dyDescent="0.35">
      <c r="A20" t="s">
        <v>0</v>
      </c>
      <c r="B20" t="s">
        <v>143</v>
      </c>
      <c r="C20" t="s">
        <v>144</v>
      </c>
      <c r="D20" t="s">
        <v>145</v>
      </c>
      <c r="E20" t="s">
        <v>146</v>
      </c>
      <c r="F20" t="s">
        <v>147</v>
      </c>
      <c r="G20" t="s">
        <v>148</v>
      </c>
      <c r="H20" t="s">
        <v>149</v>
      </c>
      <c r="I20" t="s">
        <v>150</v>
      </c>
      <c r="J20" t="s">
        <v>151</v>
      </c>
      <c r="K20" t="s">
        <v>152</v>
      </c>
      <c r="L20" t="s">
        <v>153</v>
      </c>
    </row>
    <row r="21" spans="1:12" x14ac:dyDescent="0.35">
      <c r="A21" t="s">
        <v>111</v>
      </c>
      <c r="B21" s="8">
        <v>25.333333333333332</v>
      </c>
      <c r="C21" s="8">
        <v>25.041666666666668</v>
      </c>
      <c r="D21" s="8">
        <v>27.921875</v>
      </c>
      <c r="E21" s="8">
        <v>27.537109375</v>
      </c>
      <c r="F21" s="8">
        <v>30.729248046875</v>
      </c>
      <c r="G21" s="8">
        <v>29.195404052734375</v>
      </c>
      <c r="H21" s="8">
        <v>27.469829559326172</v>
      </c>
      <c r="I21" s="8">
        <v>28.153558254241943</v>
      </c>
      <c r="J21" s="8">
        <v>27.672753036022186</v>
      </c>
      <c r="K21" s="8">
        <v>27.965180498858295</v>
      </c>
      <c r="L21">
        <v>9</v>
      </c>
    </row>
    <row r="22" spans="1:12" x14ac:dyDescent="0.35">
      <c r="A22" t="s">
        <v>112</v>
      </c>
      <c r="B22" s="8">
        <v>35.75</v>
      </c>
      <c r="C22" s="8">
        <v>35.75</v>
      </c>
      <c r="D22" s="8">
        <v>31.9</v>
      </c>
      <c r="E22" s="8">
        <v>27.68</v>
      </c>
      <c r="F22" s="8">
        <v>28.616000000000003</v>
      </c>
      <c r="G22" s="8">
        <v>31.939200000000007</v>
      </c>
      <c r="H22" s="8">
        <v>31.177040000000005</v>
      </c>
      <c r="I22" s="8">
        <v>30.262447999999999</v>
      </c>
      <c r="J22" s="8">
        <v>29.934937600000005</v>
      </c>
      <c r="K22" s="8">
        <v>30.385925120000007</v>
      </c>
      <c r="L22">
        <v>4</v>
      </c>
    </row>
    <row r="23" spans="1:12" x14ac:dyDescent="0.35">
      <c r="A23" t="s">
        <v>113</v>
      </c>
      <c r="B23" s="8">
        <v>406.25</v>
      </c>
      <c r="C23" s="8">
        <v>387.0625</v>
      </c>
      <c r="D23" s="8">
        <v>308.578125</v>
      </c>
      <c r="E23" s="8">
        <v>338.22265625</v>
      </c>
      <c r="F23" s="8">
        <v>360.0283203125</v>
      </c>
      <c r="G23" s="8">
        <v>348.472900390625</v>
      </c>
      <c r="H23" s="8">
        <v>338.82550048828125</v>
      </c>
      <c r="I23" s="8">
        <v>346.38734436035156</v>
      </c>
      <c r="J23" s="8">
        <v>348.42851638793945</v>
      </c>
      <c r="K23" s="8">
        <v>345.52856540679932</v>
      </c>
      <c r="L23">
        <v>4</v>
      </c>
    </row>
    <row r="24" spans="1:12" x14ac:dyDescent="0.35">
      <c r="A24" t="s">
        <v>114</v>
      </c>
      <c r="B24" s="8">
        <v>327.75</v>
      </c>
      <c r="C24" s="8">
        <v>333.21875</v>
      </c>
      <c r="D24" s="8">
        <v>324.99609375</v>
      </c>
      <c r="E24" s="8">
        <v>319.37060546875</v>
      </c>
      <c r="F24" s="8">
        <v>333.16693115234375</v>
      </c>
      <c r="G24" s="8">
        <v>328.81279754638672</v>
      </c>
      <c r="H24" s="8">
        <v>339.91439723968506</v>
      </c>
      <c r="I24" s="8">
        <v>338.65369689464569</v>
      </c>
      <c r="J24" s="8">
        <v>330.7354090064764</v>
      </c>
      <c r="K24" s="8">
        <v>331.10858513228595</v>
      </c>
      <c r="L24">
        <v>8</v>
      </c>
    </row>
    <row r="25" spans="1:12" x14ac:dyDescent="0.35">
      <c r="A25" t="s">
        <v>115</v>
      </c>
      <c r="B25" s="8">
        <v>512.22222222222217</v>
      </c>
      <c r="C25" s="8">
        <v>509.02469135802471</v>
      </c>
      <c r="D25" s="8">
        <v>513.24965706447199</v>
      </c>
      <c r="E25" s="8">
        <v>529.16628562719097</v>
      </c>
      <c r="F25" s="8">
        <v>507.18476180798996</v>
      </c>
      <c r="G25" s="8">
        <v>492.53862423109996</v>
      </c>
      <c r="H25" s="8">
        <v>477.70958247899995</v>
      </c>
      <c r="I25" s="8">
        <v>424.67731386555556</v>
      </c>
      <c r="J25" s="8">
        <v>468.41923762839502</v>
      </c>
      <c r="K25" s="8">
        <v>492.68804180932784</v>
      </c>
      <c r="L25">
        <v>9</v>
      </c>
    </row>
    <row r="28" spans="1:12" x14ac:dyDescent="0.35">
      <c r="B28" t="s">
        <v>117</v>
      </c>
    </row>
    <row r="29" spans="1:12" x14ac:dyDescent="0.35">
      <c r="A29" t="s">
        <v>0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  <c r="G29" t="s">
        <v>148</v>
      </c>
      <c r="H29" t="s">
        <v>149</v>
      </c>
      <c r="I29" t="s">
        <v>150</v>
      </c>
      <c r="J29" t="s">
        <v>151</v>
      </c>
      <c r="K29" t="s">
        <v>152</v>
      </c>
      <c r="L29" t="s">
        <v>123</v>
      </c>
    </row>
    <row r="30" spans="1:12" x14ac:dyDescent="0.35">
      <c r="A30" t="s">
        <v>111</v>
      </c>
      <c r="B30" s="8">
        <v>29.794500315072277</v>
      </c>
      <c r="C30" s="8">
        <v>29.794500315072277</v>
      </c>
      <c r="D30" s="8">
        <v>29.794500315072277</v>
      </c>
      <c r="E30" s="8">
        <v>29.794500315072277</v>
      </c>
      <c r="F30" s="8">
        <v>29.794500315072277</v>
      </c>
      <c r="G30" s="8">
        <v>29.794500315072277</v>
      </c>
      <c r="H30" s="8">
        <v>29.794500315072277</v>
      </c>
      <c r="I30" s="8">
        <v>29.794500315072277</v>
      </c>
      <c r="J30" s="8">
        <v>29.794500315072277</v>
      </c>
      <c r="K30" s="8">
        <v>29.794500315072277</v>
      </c>
      <c r="L30" s="3">
        <v>0.39600200000000002</v>
      </c>
    </row>
    <row r="31" spans="1:12" x14ac:dyDescent="0.35">
      <c r="A31" t="s">
        <v>112</v>
      </c>
      <c r="B31" s="8">
        <v>26.227294992425204</v>
      </c>
      <c r="C31" s="8">
        <v>26.227294992425204</v>
      </c>
      <c r="D31" s="8">
        <v>26.227294992425204</v>
      </c>
      <c r="E31" s="8">
        <v>26.227294992425204</v>
      </c>
      <c r="F31" s="8">
        <v>26.227294992425204</v>
      </c>
      <c r="G31" s="8">
        <v>26.227294992425204</v>
      </c>
      <c r="H31" s="8">
        <v>26.227294992425204</v>
      </c>
      <c r="I31" s="8">
        <v>26.227294992425204</v>
      </c>
      <c r="J31" s="8">
        <v>26.227294992425204</v>
      </c>
      <c r="K31" s="8">
        <v>26.227294992425204</v>
      </c>
      <c r="L31" s="3">
        <v>0.466610209767991</v>
      </c>
    </row>
    <row r="32" spans="1:12" x14ac:dyDescent="0.35">
      <c r="A32" t="s">
        <v>113</v>
      </c>
      <c r="B32" s="8">
        <v>658.19622471474372</v>
      </c>
      <c r="C32" s="8">
        <v>658.19622471474372</v>
      </c>
      <c r="D32" s="8">
        <v>658.19622471474372</v>
      </c>
      <c r="E32" s="8">
        <v>658.19622471474372</v>
      </c>
      <c r="F32" s="8">
        <v>658.19622471474372</v>
      </c>
      <c r="G32" s="8">
        <v>658.19622471474372</v>
      </c>
      <c r="H32" s="8">
        <v>658.19622471474372</v>
      </c>
      <c r="I32" s="8">
        <v>658.19622471474372</v>
      </c>
      <c r="J32" s="8">
        <v>658.19622471474372</v>
      </c>
      <c r="K32" s="8">
        <v>658.19622471474372</v>
      </c>
      <c r="L32" s="3">
        <v>9.6064796716004968E-3</v>
      </c>
    </row>
    <row r="33" spans="1:13" x14ac:dyDescent="0.35">
      <c r="A33" t="s">
        <v>114</v>
      </c>
      <c r="B33" s="8">
        <v>271.79269202273753</v>
      </c>
      <c r="C33" s="8">
        <v>271.79269202273753</v>
      </c>
      <c r="D33" s="8">
        <v>271.79269202273753</v>
      </c>
      <c r="E33" s="8">
        <v>271.79269202273753</v>
      </c>
      <c r="F33" s="8">
        <v>271.79269202273753</v>
      </c>
      <c r="G33" s="8">
        <v>271.79269202273753</v>
      </c>
      <c r="H33" s="8">
        <v>271.79269202273753</v>
      </c>
      <c r="I33" s="8">
        <v>271.79269202273753</v>
      </c>
      <c r="J33" s="8">
        <v>271.79269202273753</v>
      </c>
      <c r="K33" s="8">
        <v>271.79269202273753</v>
      </c>
      <c r="L33" s="3">
        <v>2.5382861506837821E-2</v>
      </c>
    </row>
    <row r="34" spans="1:13" x14ac:dyDescent="0.35">
      <c r="A34" t="s">
        <v>115</v>
      </c>
      <c r="B34" s="8">
        <v>670.66876252057716</v>
      </c>
      <c r="C34" s="8">
        <v>670.66876252057716</v>
      </c>
      <c r="D34" s="8">
        <v>670.66876252057716</v>
      </c>
      <c r="E34" s="8">
        <v>670.66876252057716</v>
      </c>
      <c r="F34" s="8">
        <v>670.66876252057716</v>
      </c>
      <c r="G34" s="8">
        <v>670.66876252057716</v>
      </c>
      <c r="H34" s="8">
        <v>670.66876252057716</v>
      </c>
      <c r="I34" s="8">
        <v>670.66876252057716</v>
      </c>
      <c r="J34" s="8">
        <v>670.66876252057716</v>
      </c>
      <c r="K34" s="8">
        <v>670.66876252057716</v>
      </c>
      <c r="L34" s="3">
        <v>6.3356942835960705E-3</v>
      </c>
    </row>
    <row r="35" spans="1:13" x14ac:dyDescent="0.35">
      <c r="L35" s="3"/>
    </row>
    <row r="37" spans="1:13" x14ac:dyDescent="0.35">
      <c r="L37" s="3"/>
    </row>
    <row r="38" spans="1:13" x14ac:dyDescent="0.35">
      <c r="B38" t="s">
        <v>118</v>
      </c>
    </row>
    <row r="39" spans="1:13" x14ac:dyDescent="0.35">
      <c r="A39" t="s">
        <v>0</v>
      </c>
      <c r="B39" t="s">
        <v>143</v>
      </c>
      <c r="C39" t="s">
        <v>144</v>
      </c>
      <c r="D39" t="s">
        <v>145</v>
      </c>
      <c r="E39" t="s">
        <v>146</v>
      </c>
      <c r="F39" t="s">
        <v>147</v>
      </c>
      <c r="G39" t="s">
        <v>148</v>
      </c>
      <c r="H39" t="s">
        <v>149</v>
      </c>
      <c r="I39" t="s">
        <v>150</v>
      </c>
      <c r="J39" t="s">
        <v>151</v>
      </c>
      <c r="K39" t="s">
        <v>152</v>
      </c>
      <c r="L39" t="s">
        <v>130</v>
      </c>
      <c r="M39" t="s">
        <v>131</v>
      </c>
    </row>
    <row r="40" spans="1:13" x14ac:dyDescent="0.35">
      <c r="A40" t="s">
        <v>111</v>
      </c>
      <c r="B40" s="8">
        <v>9.4996787302440495</v>
      </c>
      <c r="C40" s="8">
        <v>11.99971474892266</v>
      </c>
      <c r="D40" s="8">
        <v>14.499750767601268</v>
      </c>
      <c r="E40" s="8">
        <v>16.999786786279877</v>
      </c>
      <c r="F40" s="8">
        <v>19.499822804958484</v>
      </c>
      <c r="G40" s="8">
        <v>21.999858823637098</v>
      </c>
      <c r="H40" s="8">
        <v>24.499894842315705</v>
      </c>
      <c r="I40" s="8">
        <v>26.999930860994311</v>
      </c>
      <c r="J40" s="8">
        <v>29.499966879672925</v>
      </c>
      <c r="K40" s="8">
        <v>32.000002898351532</v>
      </c>
      <c r="L40" s="3">
        <v>2.2644170329083894E-2</v>
      </c>
      <c r="M40" s="3">
        <v>0.65672796967342584</v>
      </c>
    </row>
    <row r="41" spans="1:13" x14ac:dyDescent="0.35">
      <c r="A41" t="s">
        <v>112</v>
      </c>
      <c r="B41" s="8">
        <v>0.18427880493576707</v>
      </c>
      <c r="C41" s="8">
        <v>0.18955409316451474</v>
      </c>
      <c r="D41" s="8">
        <v>0.19482938139326245</v>
      </c>
      <c r="E41" s="8">
        <v>0.20010466962201012</v>
      </c>
      <c r="F41" s="8">
        <v>0.20537995785075783</v>
      </c>
      <c r="G41" s="8">
        <v>0.21065524607950553</v>
      </c>
      <c r="H41" s="8">
        <v>0.21593053430825321</v>
      </c>
      <c r="I41" s="8">
        <v>0.22120582253700088</v>
      </c>
      <c r="J41" s="8">
        <v>0.22648111076574859</v>
      </c>
      <c r="K41" s="8">
        <v>0.23175639899449629</v>
      </c>
      <c r="L41" s="3">
        <v>1.7869606172623554E-3</v>
      </c>
      <c r="M41" s="3">
        <v>0.97854200000000002</v>
      </c>
    </row>
    <row r="42" spans="1:13" x14ac:dyDescent="0.35">
      <c r="A42" t="s">
        <v>113</v>
      </c>
      <c r="B42" s="8">
        <v>771.04476379791572</v>
      </c>
      <c r="C42" s="8">
        <v>741.66417271946307</v>
      </c>
      <c r="D42" s="8">
        <v>712.2835816410103</v>
      </c>
      <c r="E42" s="8">
        <v>682.90299056255765</v>
      </c>
      <c r="F42" s="8">
        <v>653.52239948410499</v>
      </c>
      <c r="G42" s="8">
        <v>624.14180840565223</v>
      </c>
      <c r="H42" s="8">
        <v>594.76121732719957</v>
      </c>
      <c r="I42" s="8">
        <v>565.38062624874692</v>
      </c>
      <c r="J42" s="8">
        <v>536.00003517029427</v>
      </c>
      <c r="K42" s="8">
        <v>506.61944409184156</v>
      </c>
      <c r="L42" s="3">
        <v>9.9346029035341898E-2</v>
      </c>
      <c r="M42" s="3">
        <v>0.99998297309924811</v>
      </c>
    </row>
    <row r="43" spans="1:13" x14ac:dyDescent="0.35">
      <c r="A43" t="s">
        <v>114</v>
      </c>
      <c r="B43" s="8">
        <v>193.53258899190482</v>
      </c>
      <c r="C43" s="8">
        <v>204.78606375953828</v>
      </c>
      <c r="D43" s="8">
        <v>216.03953852717177</v>
      </c>
      <c r="E43" s="8">
        <v>227.29301329480523</v>
      </c>
      <c r="F43" s="8">
        <v>238.5464880624387</v>
      </c>
      <c r="G43" s="8">
        <v>249.79996283007216</v>
      </c>
      <c r="H43" s="8">
        <v>261.05343759770562</v>
      </c>
      <c r="I43" s="8">
        <v>272.30691236533909</v>
      </c>
      <c r="J43" s="8">
        <v>283.56038713297255</v>
      </c>
      <c r="K43" s="8">
        <v>294.81386190060601</v>
      </c>
      <c r="L43" s="3">
        <v>5.3508550758231251E-2</v>
      </c>
      <c r="M43" s="3">
        <v>0.26957210749123511</v>
      </c>
    </row>
    <row r="44" spans="1:13" x14ac:dyDescent="0.35">
      <c r="A44" t="s">
        <v>115</v>
      </c>
      <c r="B44" s="8">
        <v>843.38103192307483</v>
      </c>
      <c r="C44" s="8">
        <v>793.31755129710973</v>
      </c>
      <c r="D44" s="8">
        <v>743.25407067114452</v>
      </c>
      <c r="E44" s="8">
        <v>693.19059004517953</v>
      </c>
      <c r="F44" s="8">
        <v>643.12710941921432</v>
      </c>
      <c r="G44" s="8">
        <v>593.06362879324922</v>
      </c>
      <c r="H44" s="8">
        <v>543.00014816728412</v>
      </c>
      <c r="I44" s="8">
        <v>492.93666754131903</v>
      </c>
      <c r="J44" s="8">
        <v>442.87318691535393</v>
      </c>
      <c r="K44" s="8">
        <v>392.80970628938883</v>
      </c>
      <c r="L44" s="3">
        <v>4.2374390824291813E-2</v>
      </c>
      <c r="M44" s="3">
        <v>0.34151091191739147</v>
      </c>
    </row>
    <row r="45" spans="1:13" x14ac:dyDescent="0.35">
      <c r="L45" s="3"/>
      <c r="M45" s="3"/>
    </row>
    <row r="47" spans="1:13" x14ac:dyDescent="0.35">
      <c r="L47" s="3"/>
      <c r="M47" s="3"/>
    </row>
    <row r="48" spans="1:13" x14ac:dyDescent="0.35">
      <c r="B48" t="s">
        <v>141</v>
      </c>
      <c r="L48" s="3"/>
      <c r="M48" s="3"/>
    </row>
    <row r="49" spans="1:14" x14ac:dyDescent="0.35">
      <c r="A49" t="s">
        <v>0</v>
      </c>
      <c r="B49" t="s">
        <v>143</v>
      </c>
      <c r="C49" t="s">
        <v>144</v>
      </c>
      <c r="D49" t="s">
        <v>145</v>
      </c>
      <c r="E49" t="s">
        <v>146</v>
      </c>
      <c r="F49" t="s">
        <v>147</v>
      </c>
      <c r="G49" t="s">
        <v>148</v>
      </c>
      <c r="H49" t="s">
        <v>149</v>
      </c>
      <c r="I49" t="s">
        <v>150</v>
      </c>
      <c r="J49" t="s">
        <v>151</v>
      </c>
      <c r="K49" t="s">
        <v>152</v>
      </c>
      <c r="L49" t="s">
        <v>157</v>
      </c>
      <c r="M49" t="s">
        <v>158</v>
      </c>
      <c r="N49" t="s">
        <v>159</v>
      </c>
    </row>
    <row r="50" spans="1:14" x14ac:dyDescent="0.35">
      <c r="A50" t="s">
        <v>111</v>
      </c>
      <c r="B50" s="8">
        <v>8.4499999999999993</v>
      </c>
      <c r="C50" s="8">
        <v>18.62</v>
      </c>
      <c r="D50" s="8">
        <v>21.82</v>
      </c>
      <c r="E50" s="8">
        <v>22.83</v>
      </c>
      <c r="F50" s="8">
        <v>23.15</v>
      </c>
      <c r="G50" s="8">
        <v>23.25</v>
      </c>
      <c r="H50" s="8">
        <v>23.28</v>
      </c>
      <c r="I50" s="8">
        <v>23.29</v>
      </c>
      <c r="J50" s="8">
        <v>23.29</v>
      </c>
      <c r="K50" s="8">
        <v>23.29</v>
      </c>
      <c r="L50">
        <v>1</v>
      </c>
      <c r="M50">
        <v>1</v>
      </c>
      <c r="N50">
        <v>2</v>
      </c>
    </row>
    <row r="51" spans="1:14" x14ac:dyDescent="0.35">
      <c r="A51" t="s">
        <v>112</v>
      </c>
      <c r="B51" s="8">
        <v>49.9</v>
      </c>
      <c r="C51" s="8">
        <v>23.23</v>
      </c>
      <c r="D51" s="8">
        <v>52.03</v>
      </c>
      <c r="E51" s="8">
        <v>24.65</v>
      </c>
      <c r="F51" s="8">
        <v>52.54</v>
      </c>
      <c r="G51" s="8">
        <v>25.18</v>
      </c>
      <c r="H51" s="8">
        <v>52.58</v>
      </c>
      <c r="I51" s="8">
        <v>25.46</v>
      </c>
      <c r="J51" s="8">
        <v>52.48</v>
      </c>
      <c r="K51" s="8">
        <v>25.65</v>
      </c>
      <c r="L51">
        <v>2</v>
      </c>
      <c r="M51">
        <v>0</v>
      </c>
      <c r="N51">
        <v>2</v>
      </c>
    </row>
    <row r="52" spans="1:14" x14ac:dyDescent="0.35">
      <c r="A52" t="s">
        <v>113</v>
      </c>
      <c r="B52" s="8">
        <v>600.16999999999996</v>
      </c>
      <c r="C52" s="8">
        <v>534.94000000000005</v>
      </c>
      <c r="D52" s="8">
        <v>444.99</v>
      </c>
      <c r="E52" s="8">
        <v>474</v>
      </c>
      <c r="F52" s="8">
        <v>493.93</v>
      </c>
      <c r="G52" s="8">
        <v>481.87</v>
      </c>
      <c r="H52" s="8">
        <v>476.66</v>
      </c>
      <c r="I52" s="8">
        <v>479.44</v>
      </c>
      <c r="J52" s="8">
        <v>479.25</v>
      </c>
      <c r="K52" s="8">
        <v>477.22</v>
      </c>
      <c r="L52">
        <v>2</v>
      </c>
      <c r="M52">
        <v>2</v>
      </c>
      <c r="N52">
        <v>2</v>
      </c>
    </row>
    <row r="53" spans="1:14" x14ac:dyDescent="0.35">
      <c r="A53" t="s">
        <v>114</v>
      </c>
      <c r="B53" s="8">
        <v>252.71</v>
      </c>
      <c r="C53" s="8">
        <v>297.48</v>
      </c>
      <c r="D53" s="8">
        <v>285</v>
      </c>
      <c r="E53" s="8">
        <v>289.41000000000003</v>
      </c>
      <c r="F53" s="8">
        <v>288.83999999999997</v>
      </c>
      <c r="G53" s="8">
        <v>289.74</v>
      </c>
      <c r="H53" s="8">
        <v>290.2</v>
      </c>
      <c r="I53" s="8">
        <v>290.8</v>
      </c>
      <c r="J53" s="8">
        <v>291.35000000000002</v>
      </c>
      <c r="K53" s="8">
        <v>291.92</v>
      </c>
      <c r="L53">
        <v>1</v>
      </c>
      <c r="M53">
        <v>2</v>
      </c>
      <c r="N53">
        <v>2</v>
      </c>
    </row>
    <row r="54" spans="1:14" x14ac:dyDescent="0.35">
      <c r="A54" t="s">
        <v>115</v>
      </c>
      <c r="B54" s="8">
        <v>547.57000000000005</v>
      </c>
      <c r="C54" s="8">
        <v>568.72</v>
      </c>
      <c r="D54" s="8">
        <v>570.9</v>
      </c>
      <c r="E54" s="8">
        <v>571.79</v>
      </c>
      <c r="F54" s="8">
        <v>572.58000000000004</v>
      </c>
      <c r="G54" s="8">
        <v>573.37</v>
      </c>
      <c r="H54" s="8">
        <v>574.15</v>
      </c>
      <c r="I54" s="8">
        <v>574.94000000000005</v>
      </c>
      <c r="J54" s="8">
        <v>575.73</v>
      </c>
      <c r="K54" s="8">
        <v>576.51</v>
      </c>
      <c r="L54">
        <v>1</v>
      </c>
      <c r="M54">
        <v>2</v>
      </c>
      <c r="N54">
        <v>2</v>
      </c>
    </row>
    <row r="58" spans="1:14" x14ac:dyDescent="0.35">
      <c r="B58" t="s">
        <v>142</v>
      </c>
    </row>
    <row r="59" spans="1:14" x14ac:dyDescent="0.35">
      <c r="A59" s="9" t="s">
        <v>0</v>
      </c>
      <c r="B59" s="9" t="s">
        <v>143</v>
      </c>
      <c r="C59" s="9" t="s">
        <v>144</v>
      </c>
      <c r="D59" s="9" t="s">
        <v>145</v>
      </c>
      <c r="E59" s="9" t="s">
        <v>146</v>
      </c>
      <c r="F59" s="9" t="s">
        <v>147</v>
      </c>
      <c r="G59" s="9" t="s">
        <v>148</v>
      </c>
      <c r="H59" s="9" t="s">
        <v>149</v>
      </c>
      <c r="I59" s="9" t="s">
        <v>150</v>
      </c>
      <c r="J59" s="9" t="s">
        <v>151</v>
      </c>
      <c r="K59" s="9" t="s">
        <v>152</v>
      </c>
    </row>
    <row r="60" spans="1:14" x14ac:dyDescent="0.35">
      <c r="A60" s="9" t="s">
        <v>111</v>
      </c>
      <c r="B60" s="8">
        <v>4.5</v>
      </c>
      <c r="C60" s="8">
        <v>11.8</v>
      </c>
      <c r="D60" s="8">
        <v>40.1</v>
      </c>
      <c r="E60" s="8">
        <v>-0.4</v>
      </c>
      <c r="F60" s="8">
        <v>30.2</v>
      </c>
      <c r="G60" s="8">
        <v>4.3</v>
      </c>
      <c r="H60" s="8">
        <v>45</v>
      </c>
      <c r="I60" s="8">
        <v>44.4</v>
      </c>
      <c r="J60" s="8">
        <v>22.7</v>
      </c>
      <c r="K60" s="8">
        <v>31</v>
      </c>
    </row>
    <row r="61" spans="1:14" x14ac:dyDescent="0.35">
      <c r="A61" s="9" t="s">
        <v>112</v>
      </c>
      <c r="B61" s="8">
        <v>2.4</v>
      </c>
      <c r="C61" s="8">
        <v>-2.2000000000000002</v>
      </c>
      <c r="D61" s="8">
        <v>111.6</v>
      </c>
      <c r="E61" s="8">
        <v>4.9000000000000004</v>
      </c>
      <c r="F61" s="8">
        <v>99.6</v>
      </c>
      <c r="G61" s="8">
        <v>31.5</v>
      </c>
      <c r="H61" s="8">
        <v>54.8</v>
      </c>
      <c r="I61" s="8">
        <v>54</v>
      </c>
      <c r="J61" s="8">
        <v>24.4</v>
      </c>
      <c r="K61" s="8">
        <v>12.7</v>
      </c>
    </row>
    <row r="62" spans="1:14" x14ac:dyDescent="0.35">
      <c r="A62" s="9" t="s">
        <v>113</v>
      </c>
      <c r="B62" s="8">
        <v>511.2</v>
      </c>
      <c r="C62" s="8">
        <v>486.1</v>
      </c>
      <c r="D62" s="8">
        <v>495</v>
      </c>
      <c r="E62" s="8">
        <v>435.5</v>
      </c>
      <c r="F62" s="8">
        <v>519.6</v>
      </c>
      <c r="G62" s="8">
        <v>457.8</v>
      </c>
      <c r="H62" s="8">
        <v>461.4</v>
      </c>
      <c r="I62" s="8">
        <v>457.2</v>
      </c>
      <c r="J62" s="8">
        <v>514.5</v>
      </c>
      <c r="K62" s="8">
        <v>459</v>
      </c>
    </row>
    <row r="63" spans="1:14" x14ac:dyDescent="0.35">
      <c r="A63" s="9" t="s">
        <v>114</v>
      </c>
      <c r="B63" s="8">
        <v>246.5</v>
      </c>
      <c r="C63" s="8">
        <v>274.39999999999998</v>
      </c>
      <c r="D63" s="8">
        <v>264.3</v>
      </c>
      <c r="E63" s="8">
        <v>286.7</v>
      </c>
      <c r="F63" s="8">
        <v>268.5</v>
      </c>
      <c r="G63" s="8">
        <v>273.2</v>
      </c>
      <c r="H63" s="8">
        <v>292.89999999999998</v>
      </c>
      <c r="I63" s="8">
        <v>281</v>
      </c>
      <c r="J63" s="8">
        <v>276.2</v>
      </c>
      <c r="K63" s="8">
        <v>258.7</v>
      </c>
    </row>
    <row r="64" spans="1:14" x14ac:dyDescent="0.35">
      <c r="A64" s="9" t="s">
        <v>115</v>
      </c>
      <c r="B64" s="8">
        <v>549</v>
      </c>
      <c r="C64" s="8">
        <v>533.29999999999995</v>
      </c>
      <c r="D64" s="8">
        <v>537.1</v>
      </c>
      <c r="E64" s="8">
        <v>590.79999999999995</v>
      </c>
      <c r="F64" s="8">
        <v>571.1</v>
      </c>
      <c r="G64" s="8">
        <v>567.1</v>
      </c>
      <c r="H64" s="8">
        <v>558.70000000000005</v>
      </c>
      <c r="I64" s="8">
        <v>559.5</v>
      </c>
      <c r="J64" s="8">
        <v>600.5</v>
      </c>
      <c r="K64" s="8">
        <v>512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6"/>
  <sheetViews>
    <sheetView topLeftCell="A4" zoomScale="70" zoomScaleNormal="70" workbookViewId="0">
      <selection activeCell="H49" sqref="H49"/>
    </sheetView>
  </sheetViews>
  <sheetFormatPr defaultRowHeight="14.5" x14ac:dyDescent="0.35"/>
  <sheetData>
    <row r="1" spans="1:1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</row>
    <row r="2" spans="1:111" x14ac:dyDescent="0.35">
      <c r="A2" t="s">
        <v>111</v>
      </c>
      <c r="B2">
        <f>'Methods and calculation'!B2/MAX('Methods and calculation'!$B2:$DG2)</f>
        <v>6.9767441860465115E-2</v>
      </c>
      <c r="C2">
        <f>'Methods and calculation'!C2/MAX('Methods and calculation'!$B2:$DG2)</f>
        <v>0.27906976744186046</v>
      </c>
      <c r="D2">
        <f>'Methods and calculation'!D2/MAX('Methods and calculation'!$B2:$DG2)</f>
        <v>0.95348837209302328</v>
      </c>
      <c r="E2">
        <f>'Methods and calculation'!E2/MAX('Methods and calculation'!$B2:$DG2)</f>
        <v>4.6511627906976744E-2</v>
      </c>
      <c r="F2">
        <f>'Methods and calculation'!F2/MAX('Methods and calculation'!$B2:$DG2)</f>
        <v>0.72093023255813948</v>
      </c>
      <c r="G2">
        <f>'Methods and calculation'!G2/MAX('Methods and calculation'!$B2:$DG2)</f>
        <v>4.6511627906976744E-2</v>
      </c>
      <c r="H2">
        <f>'Methods and calculation'!H2/MAX('Methods and calculation'!$B2:$DG2)</f>
        <v>1</v>
      </c>
      <c r="I2">
        <f>'Methods and calculation'!I2/MAX('Methods and calculation'!$B2:$DG2)</f>
        <v>1</v>
      </c>
      <c r="J2">
        <f>'Methods and calculation'!J2/MAX('Methods and calculation'!$B2:$DG2)</f>
        <v>0.51162790697674421</v>
      </c>
      <c r="K2">
        <f>'Methods and calculation'!K2/MAX('Methods and calculation'!$B2:$DG2)</f>
        <v>0.7441860465116279</v>
      </c>
      <c r="L2">
        <f>'Methods and calculation'!L2/MAX('Methods and calculation'!$B2:$DG2)</f>
        <v>6.9767441860465115E-2</v>
      </c>
      <c r="M2">
        <f>'Methods and calculation'!M2/MAX('Methods and calculation'!$B2:$DG2)</f>
        <v>0.27906976744186046</v>
      </c>
      <c r="N2">
        <f>'Methods and calculation'!N2/MAX('Methods and calculation'!$B2:$DG2)</f>
        <v>0.95348837209302328</v>
      </c>
      <c r="O2">
        <f>'Methods and calculation'!O2/MAX('Methods and calculation'!$B2:$DG2)</f>
        <v>4.6511627906976744E-2</v>
      </c>
      <c r="P2">
        <f>'Methods and calculation'!P2/MAX('Methods and calculation'!$B2:$DG2)</f>
        <v>0.72093023255813948</v>
      </c>
      <c r="Q2">
        <f>'Methods and calculation'!Q2/MAX('Methods and calculation'!$B2:$DG2)</f>
        <v>4.6511627906976744E-2</v>
      </c>
      <c r="R2">
        <f>'Methods and calculation'!R2/MAX('Methods and calculation'!$B2:$DG2)</f>
        <v>1</v>
      </c>
      <c r="S2">
        <f>'Methods and calculation'!S2/MAX('Methods and calculation'!$B2:$DG2)</f>
        <v>1</v>
      </c>
      <c r="T2">
        <f>'Methods and calculation'!T2/MAX('Methods and calculation'!$B2:$DG2)</f>
        <v>0.51162790697674421</v>
      </c>
      <c r="U2">
        <f>'Methods and calculation'!U2/MAX('Methods and calculation'!$B2:$DG2)</f>
        <v>0.7441860465116279</v>
      </c>
      <c r="V2">
        <f>'Methods and calculation'!V2/MAX('Methods and calculation'!$B2:$DG2)</f>
        <v>6.9767441860465115E-2</v>
      </c>
      <c r="W2">
        <f>'Methods and calculation'!W2/MAX('Methods and calculation'!$B2:$DG2)</f>
        <v>0.27906976744186046</v>
      </c>
      <c r="X2">
        <f>'Methods and calculation'!X2/MAX('Methods and calculation'!$B2:$DG2)</f>
        <v>0.95348837209302328</v>
      </c>
      <c r="Y2">
        <f>'Methods and calculation'!Y2/MAX('Methods and calculation'!$B2:$DG2)</f>
        <v>4.6511627906976744E-2</v>
      </c>
      <c r="Z2">
        <f>'Methods and calculation'!Z2/MAX('Methods and calculation'!$B2:$DG2)</f>
        <v>0.72093023255813948</v>
      </c>
      <c r="AA2">
        <f>'Methods and calculation'!AA2/MAX('Methods and calculation'!$B2:$DG2)</f>
        <v>4.6511627906976744E-2</v>
      </c>
      <c r="AB2">
        <f>'Methods and calculation'!AB2/MAX('Methods and calculation'!$B2:$DG2)</f>
        <v>1</v>
      </c>
      <c r="AC2">
        <f>'Methods and calculation'!AC2/MAX('Methods and calculation'!$B2:$DG2)</f>
        <v>1</v>
      </c>
      <c r="AD2">
        <f>'Methods and calculation'!AD2/MAX('Methods and calculation'!$B2:$DG2)</f>
        <v>0.51162790697674421</v>
      </c>
      <c r="AE2">
        <f>'Methods and calculation'!AE2/MAX('Methods and calculation'!$B2:$DG2)</f>
        <v>0.7441860465116279</v>
      </c>
      <c r="AF2">
        <f>'Methods and calculation'!AF2/MAX('Methods and calculation'!$B2:$DG2)</f>
        <v>6.9767441860465115E-2</v>
      </c>
      <c r="AG2">
        <f>'Methods and calculation'!AG2/MAX('Methods and calculation'!$B2:$DG2)</f>
        <v>0.27906976744186046</v>
      </c>
      <c r="AH2">
        <f>'Methods and calculation'!AH2/MAX('Methods and calculation'!$B2:$DG2)</f>
        <v>0.95348837209302328</v>
      </c>
      <c r="AI2">
        <f>'Methods and calculation'!AI2/MAX('Methods and calculation'!$B2:$DG2)</f>
        <v>4.6511627906976744E-2</v>
      </c>
      <c r="AJ2">
        <f>'Methods and calculation'!AJ2/MAX('Methods and calculation'!$B2:$DG2)</f>
        <v>0.72093023255813948</v>
      </c>
      <c r="AK2">
        <f>'Methods and calculation'!AK2/MAX('Methods and calculation'!$B2:$DG2)</f>
        <v>4.6511627906976744E-2</v>
      </c>
      <c r="AL2">
        <f>'Methods and calculation'!AL2/MAX('Methods and calculation'!$B2:$DG2)</f>
        <v>1</v>
      </c>
      <c r="AM2">
        <f>'Methods and calculation'!AM2/MAX('Methods and calculation'!$B2:$DG2)</f>
        <v>1</v>
      </c>
      <c r="AN2">
        <f>'Methods and calculation'!AN2/MAX('Methods and calculation'!$B2:$DG2)</f>
        <v>0.51162790697674421</v>
      </c>
      <c r="AO2">
        <f>'Methods and calculation'!AO2/MAX('Methods and calculation'!$B2:$DG2)</f>
        <v>0.7441860465116279</v>
      </c>
      <c r="AP2">
        <f>'Methods and calculation'!AP2/MAX('Methods and calculation'!$B2:$DG2)</f>
        <v>6.9767441860465115E-2</v>
      </c>
      <c r="AQ2">
        <f>'Methods and calculation'!AQ2/MAX('Methods and calculation'!$B2:$DG2)</f>
        <v>0.27906976744186046</v>
      </c>
      <c r="AR2">
        <f>'Methods and calculation'!AR2/MAX('Methods and calculation'!$B2:$DG2)</f>
        <v>0.95348837209302328</v>
      </c>
      <c r="AS2">
        <f>'Methods and calculation'!AS2/MAX('Methods and calculation'!$B2:$DG2)</f>
        <v>4.6511627906976744E-2</v>
      </c>
      <c r="AT2">
        <f>'Methods and calculation'!AT2/MAX('Methods and calculation'!$B2:$DG2)</f>
        <v>0.72093023255813948</v>
      </c>
      <c r="AU2">
        <f>'Methods and calculation'!AU2/MAX('Methods and calculation'!$B2:$DG2)</f>
        <v>4.6511627906976744E-2</v>
      </c>
      <c r="AV2">
        <f>'Methods and calculation'!AV2/MAX('Methods and calculation'!$B2:$DG2)</f>
        <v>1</v>
      </c>
      <c r="AW2">
        <f>'Methods and calculation'!AW2/MAX('Methods and calculation'!$B2:$DG2)</f>
        <v>1</v>
      </c>
      <c r="AX2">
        <f>'Methods and calculation'!AX2/MAX('Methods and calculation'!$B2:$DG2)</f>
        <v>0.51162790697674421</v>
      </c>
      <c r="AY2">
        <f>'Methods and calculation'!AY2/MAX('Methods and calculation'!$B2:$DG2)</f>
        <v>0.7441860465116279</v>
      </c>
      <c r="AZ2">
        <f>'Methods and calculation'!AZ2/MAX('Methods and calculation'!$B2:$DG2)</f>
        <v>6.9767441860465115E-2</v>
      </c>
      <c r="BA2">
        <f>'Methods and calculation'!BA2/MAX('Methods and calculation'!$B2:$DG2)</f>
        <v>0.27906976744186046</v>
      </c>
      <c r="BB2">
        <f>'Methods and calculation'!BB2/MAX('Methods and calculation'!$B2:$DG2)</f>
        <v>0.95348837209302328</v>
      </c>
      <c r="BC2">
        <f>'Methods and calculation'!BC2/MAX('Methods and calculation'!$B2:$DG2)</f>
        <v>4.6511627906976744E-2</v>
      </c>
      <c r="BD2">
        <f>'Methods and calculation'!BD2/MAX('Methods and calculation'!$B2:$DG2)</f>
        <v>0.72093023255813948</v>
      </c>
      <c r="BE2">
        <f>'Methods and calculation'!BE2/MAX('Methods and calculation'!$B2:$DG2)</f>
        <v>4.6511627906976744E-2</v>
      </c>
      <c r="BF2">
        <f>'Methods and calculation'!BF2/MAX('Methods and calculation'!$B2:$DG2)</f>
        <v>1</v>
      </c>
      <c r="BG2">
        <f>'Methods and calculation'!BG2/MAX('Methods and calculation'!$B2:$DG2)</f>
        <v>1</v>
      </c>
      <c r="BH2">
        <f>'Methods and calculation'!BH2/MAX('Methods and calculation'!$B2:$DG2)</f>
        <v>0.51162790697674421</v>
      </c>
      <c r="BI2">
        <f>'Methods and calculation'!BI2/MAX('Methods and calculation'!$B2:$DG2)</f>
        <v>0.7441860465116279</v>
      </c>
      <c r="BJ2">
        <f>'Methods and calculation'!BJ2/MAX('Methods and calculation'!$B2:$DG2)</f>
        <v>6.9767441860465115E-2</v>
      </c>
      <c r="BK2">
        <f>'Methods and calculation'!BK2/MAX('Methods and calculation'!$B2:$DG2)</f>
        <v>0.27906976744186046</v>
      </c>
      <c r="BL2">
        <f>'Methods and calculation'!BL2/MAX('Methods and calculation'!$B2:$DG2)</f>
        <v>0.95348837209302328</v>
      </c>
      <c r="BM2">
        <f>'Methods and calculation'!BM2/MAX('Methods and calculation'!$B2:$DG2)</f>
        <v>4.6511627906976744E-2</v>
      </c>
      <c r="BN2">
        <f>'Methods and calculation'!BN2/MAX('Methods and calculation'!$B2:$DG2)</f>
        <v>0.72093023255813948</v>
      </c>
      <c r="BO2">
        <f>'Methods and calculation'!BO2/MAX('Methods and calculation'!$B2:$DG2)</f>
        <v>4.6511627906976744E-2</v>
      </c>
      <c r="BP2">
        <f>'Methods and calculation'!BP2/MAX('Methods and calculation'!$B2:$DG2)</f>
        <v>1</v>
      </c>
      <c r="BQ2">
        <f>'Methods and calculation'!BQ2/MAX('Methods and calculation'!$B2:$DG2)</f>
        <v>1</v>
      </c>
      <c r="BR2">
        <f>'Methods and calculation'!BR2/MAX('Methods and calculation'!$B2:$DG2)</f>
        <v>0.51162790697674421</v>
      </c>
      <c r="BS2">
        <f>'Methods and calculation'!BS2/MAX('Methods and calculation'!$B2:$DG2)</f>
        <v>0.7441860465116279</v>
      </c>
      <c r="BT2">
        <f>'Methods and calculation'!BT2/MAX('Methods and calculation'!$B2:$DG2)</f>
        <v>6.9767441860465115E-2</v>
      </c>
      <c r="BU2">
        <f>'Methods and calculation'!BU2/MAX('Methods and calculation'!$B2:$DG2)</f>
        <v>0.27906976744186046</v>
      </c>
      <c r="BV2">
        <f>'Methods and calculation'!BV2/MAX('Methods and calculation'!$B2:$DG2)</f>
        <v>0.95348837209302328</v>
      </c>
      <c r="BW2">
        <f>'Methods and calculation'!BW2/MAX('Methods and calculation'!$B2:$DG2)</f>
        <v>4.6511627906976744E-2</v>
      </c>
      <c r="BX2">
        <f>'Methods and calculation'!BX2/MAX('Methods and calculation'!$B2:$DG2)</f>
        <v>0.72093023255813948</v>
      </c>
      <c r="BY2">
        <f>'Methods and calculation'!BY2/MAX('Methods and calculation'!$B2:$DG2)</f>
        <v>4.6511627906976744E-2</v>
      </c>
      <c r="BZ2">
        <f>'Methods and calculation'!BZ2/MAX('Methods and calculation'!$B2:$DG2)</f>
        <v>1</v>
      </c>
      <c r="CA2">
        <f>'Methods and calculation'!CA2/MAX('Methods and calculation'!$B2:$DG2)</f>
        <v>1</v>
      </c>
      <c r="CB2">
        <f>'Methods and calculation'!CB2/MAX('Methods and calculation'!$B2:$DG2)</f>
        <v>0.51162790697674421</v>
      </c>
      <c r="CC2">
        <f>'Methods and calculation'!CC2/MAX('Methods and calculation'!$B2:$DG2)</f>
        <v>0.7441860465116279</v>
      </c>
      <c r="CD2">
        <f>'Methods and calculation'!CD2/MAX('Methods and calculation'!$B2:$DG2)</f>
        <v>6.9767441860465115E-2</v>
      </c>
      <c r="CE2">
        <f>'Methods and calculation'!CE2/MAX('Methods and calculation'!$B2:$DG2)</f>
        <v>0.27906976744186046</v>
      </c>
      <c r="CF2">
        <f>'Methods and calculation'!CF2/MAX('Methods and calculation'!$B2:$DG2)</f>
        <v>0.95348837209302328</v>
      </c>
      <c r="CG2">
        <f>'Methods and calculation'!CG2/MAX('Methods and calculation'!$B2:$DG2)</f>
        <v>4.6511627906976744E-2</v>
      </c>
      <c r="CH2">
        <f>'Methods and calculation'!CH2/MAX('Methods and calculation'!$B2:$DG2)</f>
        <v>0.72093023255813948</v>
      </c>
      <c r="CI2">
        <f>'Methods and calculation'!CI2/MAX('Methods and calculation'!$B2:$DG2)</f>
        <v>4.6511627906976744E-2</v>
      </c>
      <c r="CJ2">
        <f>'Methods and calculation'!CJ2/MAX('Methods and calculation'!$B2:$DG2)</f>
        <v>1</v>
      </c>
      <c r="CK2">
        <f>'Methods and calculation'!CK2/MAX('Methods and calculation'!$B2:$DG2)</f>
        <v>1</v>
      </c>
      <c r="CL2">
        <f>'Methods and calculation'!CL2/MAX('Methods and calculation'!$B2:$DG2)</f>
        <v>0.51162790697674421</v>
      </c>
      <c r="CM2">
        <f>'Methods and calculation'!CM2/MAX('Methods and calculation'!$B2:$DG2)</f>
        <v>0.7441860465116279</v>
      </c>
      <c r="CN2">
        <f>'Methods and calculation'!CN2/MAX('Methods and calculation'!$B2:$DG2)</f>
        <v>6.9767441860465115E-2</v>
      </c>
      <c r="CO2">
        <f>'Methods and calculation'!CO2/MAX('Methods and calculation'!$B2:$DG2)</f>
        <v>0.27906976744186046</v>
      </c>
      <c r="CP2">
        <f>'Methods and calculation'!CP2/MAX('Methods and calculation'!$B2:$DG2)</f>
        <v>0.95348837209302328</v>
      </c>
      <c r="CQ2">
        <f>'Methods and calculation'!CQ2/MAX('Methods and calculation'!$B2:$DG2)</f>
        <v>4.6511627906976744E-2</v>
      </c>
      <c r="CR2">
        <f>'Methods and calculation'!CR2/MAX('Methods and calculation'!$B2:$DG2)</f>
        <v>0.72093023255813948</v>
      </c>
      <c r="CS2">
        <f>'Methods and calculation'!CS2/MAX('Methods and calculation'!$B2:$DG2)</f>
        <v>4.6511627906976744E-2</v>
      </c>
      <c r="CT2">
        <f>'Methods and calculation'!CT2/MAX('Methods and calculation'!$B2:$DG2)</f>
        <v>1</v>
      </c>
      <c r="CU2">
        <f>'Methods and calculation'!CU2/MAX('Methods and calculation'!$B2:$DG2)</f>
        <v>1</v>
      </c>
      <c r="CV2">
        <f>'Methods and calculation'!CV2/MAX('Methods and calculation'!$B2:$DG2)</f>
        <v>0.51162790697674421</v>
      </c>
      <c r="CW2">
        <f>'Methods and calculation'!CW2/MAX('Methods and calculation'!$B2:$DG2)</f>
        <v>0.7441860465116279</v>
      </c>
      <c r="CX2">
        <f>'Methods and calculation'!CX2/MAX('Methods and calculation'!$B2:$DG2)</f>
        <v>6.9767441860465115E-2</v>
      </c>
      <c r="CY2">
        <f>'Methods and calculation'!CY2/MAX('Methods and calculation'!$B2:$DG2)</f>
        <v>0.27906976744186046</v>
      </c>
      <c r="CZ2">
        <f>'Methods and calculation'!CZ2/MAX('Methods and calculation'!$B2:$DG2)</f>
        <v>0.95348837209302328</v>
      </c>
      <c r="DA2">
        <f>'Methods and calculation'!DA2/MAX('Methods and calculation'!$B2:$DG2)</f>
        <v>4.6511627906976744E-2</v>
      </c>
      <c r="DB2">
        <f>'Methods and calculation'!DB2/MAX('Methods and calculation'!$B2:$DG2)</f>
        <v>0.72093023255813948</v>
      </c>
      <c r="DC2">
        <f>'Methods and calculation'!DC2/MAX('Methods and calculation'!$B2:$DG2)</f>
        <v>4.6511627906976744E-2</v>
      </c>
      <c r="DD2">
        <f>'Methods and calculation'!DD2/MAX('Methods and calculation'!$B2:$DG2)</f>
        <v>1</v>
      </c>
      <c r="DE2">
        <f>'Methods and calculation'!DE2/MAX('Methods and calculation'!$B2:$DG2)</f>
        <v>1</v>
      </c>
      <c r="DF2">
        <f>'Methods and calculation'!DF2/MAX('Methods and calculation'!$B2:$DG2)</f>
        <v>0.51162790697674421</v>
      </c>
      <c r="DG2">
        <f>'Methods and calculation'!DG2/MAX('Methods and calculation'!$B2:$DG2)</f>
        <v>0.7441860465116279</v>
      </c>
    </row>
    <row r="3" spans="1:111" x14ac:dyDescent="0.35">
      <c r="A3" t="s">
        <v>112</v>
      </c>
      <c r="B3">
        <f>'Methods and calculation'!B3/MAX('Methods and calculation'!$B3:$DG3)</f>
        <v>0</v>
      </c>
      <c r="C3">
        <f>'Methods and calculation'!C3/MAX('Methods and calculation'!$B3:$DG3)</f>
        <v>0</v>
      </c>
      <c r="D3">
        <f>'Methods and calculation'!D3/MAX('Methods and calculation'!$B3:$DG3)</f>
        <v>1</v>
      </c>
      <c r="E3">
        <f>'Methods and calculation'!E3/MAX('Methods and calculation'!$B3:$DG3)</f>
        <v>1.7857142857142856E-2</v>
      </c>
      <c r="F3">
        <f>'Methods and calculation'!F3/MAX('Methods and calculation'!$B3:$DG3)</f>
        <v>0.8928571428571429</v>
      </c>
      <c r="G3">
        <f>'Methods and calculation'!G3/MAX('Methods and calculation'!$B3:$DG3)</f>
        <v>0.29464285714285715</v>
      </c>
      <c r="H3">
        <f>'Methods and calculation'!H3/MAX('Methods and calculation'!$B3:$DG3)</f>
        <v>0.49107142857142855</v>
      </c>
      <c r="I3">
        <f>'Methods and calculation'!I3/MAX('Methods and calculation'!$B3:$DG3)</f>
        <v>0.4732142857142857</v>
      </c>
      <c r="J3">
        <f>'Methods and calculation'!J3/MAX('Methods and calculation'!$B3:$DG3)</f>
        <v>0.20535714285714285</v>
      </c>
      <c r="K3">
        <f>'Methods and calculation'!K3/MAX('Methods and calculation'!$B3:$DG3)</f>
        <v>0.10714285714285714</v>
      </c>
      <c r="L3">
        <f>'Methods and calculation'!L3/MAX('Methods and calculation'!$B3:$DG3)</f>
        <v>0</v>
      </c>
      <c r="M3">
        <f>'Methods and calculation'!M3/MAX('Methods and calculation'!$B3:$DG3)</f>
        <v>0</v>
      </c>
      <c r="N3">
        <f>'Methods and calculation'!N3/MAX('Methods and calculation'!$B3:$DG3)</f>
        <v>1</v>
      </c>
      <c r="O3">
        <f>'Methods and calculation'!O3/MAX('Methods and calculation'!$B3:$DG3)</f>
        <v>1.7857142857142856E-2</v>
      </c>
      <c r="P3">
        <f>'Methods and calculation'!P3/MAX('Methods and calculation'!$B3:$DG3)</f>
        <v>0.8928571428571429</v>
      </c>
      <c r="Q3">
        <f>'Methods and calculation'!Q3/MAX('Methods and calculation'!$B3:$DG3)</f>
        <v>0.29464285714285715</v>
      </c>
      <c r="R3">
        <f>'Methods and calculation'!R3/MAX('Methods and calculation'!$B3:$DG3)</f>
        <v>0.49107142857142855</v>
      </c>
      <c r="S3">
        <f>'Methods and calculation'!S3/MAX('Methods and calculation'!$B3:$DG3)</f>
        <v>0.4732142857142857</v>
      </c>
      <c r="T3">
        <f>'Methods and calculation'!T3/MAX('Methods and calculation'!$B3:$DG3)</f>
        <v>0.20535714285714285</v>
      </c>
      <c r="U3">
        <f>'Methods and calculation'!U3/MAX('Methods and calculation'!$B3:$DG3)</f>
        <v>0.10714285714285714</v>
      </c>
      <c r="V3">
        <f>'Methods and calculation'!V3/MAX('Methods and calculation'!$B3:$DG3)</f>
        <v>0</v>
      </c>
      <c r="W3">
        <f>'Methods and calculation'!W3/MAX('Methods and calculation'!$B3:$DG3)</f>
        <v>0</v>
      </c>
      <c r="X3">
        <f>'Methods and calculation'!X3/MAX('Methods and calculation'!$B3:$DG3)</f>
        <v>1</v>
      </c>
      <c r="Y3">
        <f>'Methods and calculation'!Y3/MAX('Methods and calculation'!$B3:$DG3)</f>
        <v>1.7857142857142856E-2</v>
      </c>
      <c r="Z3">
        <f>'Methods and calculation'!Z3/MAX('Methods and calculation'!$B3:$DG3)</f>
        <v>0.8928571428571429</v>
      </c>
      <c r="AA3">
        <f>'Methods and calculation'!AA3/MAX('Methods and calculation'!$B3:$DG3)</f>
        <v>0.29464285714285715</v>
      </c>
      <c r="AB3">
        <f>'Methods and calculation'!AB3/MAX('Methods and calculation'!$B3:$DG3)</f>
        <v>0.49107142857142855</v>
      </c>
      <c r="AC3">
        <f>'Methods and calculation'!AC3/MAX('Methods and calculation'!$B3:$DG3)</f>
        <v>0.4732142857142857</v>
      </c>
      <c r="AD3">
        <f>'Methods and calculation'!AD3/MAX('Methods and calculation'!$B3:$DG3)</f>
        <v>0.20535714285714285</v>
      </c>
      <c r="AE3">
        <f>'Methods and calculation'!AE3/MAX('Methods and calculation'!$B3:$DG3)</f>
        <v>0.10714285714285714</v>
      </c>
      <c r="AF3">
        <f>'Methods and calculation'!AF3/MAX('Methods and calculation'!$B3:$DG3)</f>
        <v>0</v>
      </c>
      <c r="AG3">
        <f>'Methods and calculation'!AG3/MAX('Methods and calculation'!$B3:$DG3)</f>
        <v>0</v>
      </c>
      <c r="AH3">
        <f>'Methods and calculation'!AH3/MAX('Methods and calculation'!$B3:$DG3)</f>
        <v>1</v>
      </c>
      <c r="AI3">
        <f>'Methods and calculation'!AI3/MAX('Methods and calculation'!$B3:$DG3)</f>
        <v>1.7857142857142856E-2</v>
      </c>
      <c r="AJ3">
        <f>'Methods and calculation'!AJ3/MAX('Methods and calculation'!$B3:$DG3)</f>
        <v>0.8928571428571429</v>
      </c>
      <c r="AK3">
        <f>'Methods and calculation'!AK3/MAX('Methods and calculation'!$B3:$DG3)</f>
        <v>0.29464285714285715</v>
      </c>
      <c r="AL3">
        <f>'Methods and calculation'!AL3/MAX('Methods and calculation'!$B3:$DG3)</f>
        <v>0.49107142857142855</v>
      </c>
      <c r="AM3">
        <f>'Methods and calculation'!AM3/MAX('Methods and calculation'!$B3:$DG3)</f>
        <v>0.4732142857142857</v>
      </c>
      <c r="AN3">
        <f>'Methods and calculation'!AN3/MAX('Methods and calculation'!$B3:$DG3)</f>
        <v>0.20535714285714285</v>
      </c>
      <c r="AO3">
        <f>'Methods and calculation'!AO3/MAX('Methods and calculation'!$B3:$DG3)</f>
        <v>0.10714285714285714</v>
      </c>
      <c r="AP3">
        <f>'Methods and calculation'!AP3/MAX('Methods and calculation'!$B3:$DG3)</f>
        <v>0</v>
      </c>
      <c r="AQ3">
        <f>'Methods and calculation'!AQ3/MAX('Methods and calculation'!$B3:$DG3)</f>
        <v>0</v>
      </c>
      <c r="AR3">
        <f>'Methods and calculation'!AR3/MAX('Methods and calculation'!$B3:$DG3)</f>
        <v>1</v>
      </c>
      <c r="AS3">
        <f>'Methods and calculation'!AS3/MAX('Methods and calculation'!$B3:$DG3)</f>
        <v>1.7857142857142856E-2</v>
      </c>
      <c r="AT3">
        <f>'Methods and calculation'!AT3/MAX('Methods and calculation'!$B3:$DG3)</f>
        <v>0.8928571428571429</v>
      </c>
      <c r="AU3">
        <f>'Methods and calculation'!AU3/MAX('Methods and calculation'!$B3:$DG3)</f>
        <v>0.29464285714285715</v>
      </c>
      <c r="AV3">
        <f>'Methods and calculation'!AV3/MAX('Methods and calculation'!$B3:$DG3)</f>
        <v>0.49107142857142855</v>
      </c>
      <c r="AW3">
        <f>'Methods and calculation'!AW3/MAX('Methods and calculation'!$B3:$DG3)</f>
        <v>0.4732142857142857</v>
      </c>
      <c r="AX3">
        <f>'Methods and calculation'!AX3/MAX('Methods and calculation'!$B3:$DG3)</f>
        <v>0.20535714285714285</v>
      </c>
      <c r="AY3">
        <f>'Methods and calculation'!AY3/MAX('Methods and calculation'!$B3:$DG3)</f>
        <v>0.10714285714285714</v>
      </c>
      <c r="AZ3">
        <f>'Methods and calculation'!AZ3/MAX('Methods and calculation'!$B3:$DG3)</f>
        <v>0</v>
      </c>
      <c r="BA3">
        <f>'Methods and calculation'!BA3/MAX('Methods and calculation'!$B3:$DG3)</f>
        <v>0</v>
      </c>
      <c r="BB3">
        <f>'Methods and calculation'!BB3/MAX('Methods and calculation'!$B3:$DG3)</f>
        <v>1</v>
      </c>
      <c r="BC3">
        <f>'Methods and calculation'!BC3/MAX('Methods and calculation'!$B3:$DG3)</f>
        <v>1.7857142857142856E-2</v>
      </c>
      <c r="BD3">
        <f>'Methods and calculation'!BD3/MAX('Methods and calculation'!$B3:$DG3)</f>
        <v>0.8928571428571429</v>
      </c>
      <c r="BE3">
        <f>'Methods and calculation'!BE3/MAX('Methods and calculation'!$B3:$DG3)</f>
        <v>0.29464285714285715</v>
      </c>
      <c r="BF3">
        <f>'Methods and calculation'!BF3/MAX('Methods and calculation'!$B3:$DG3)</f>
        <v>0.49107142857142855</v>
      </c>
      <c r="BG3">
        <f>'Methods and calculation'!BG3/MAX('Methods and calculation'!$B3:$DG3)</f>
        <v>0.4732142857142857</v>
      </c>
      <c r="BH3">
        <f>'Methods and calculation'!BH3/MAX('Methods and calculation'!$B3:$DG3)</f>
        <v>0.20535714285714285</v>
      </c>
      <c r="BI3">
        <f>'Methods and calculation'!BI3/MAX('Methods and calculation'!$B3:$DG3)</f>
        <v>0.10714285714285714</v>
      </c>
      <c r="BJ3">
        <f>'Methods and calculation'!BJ3/MAX('Methods and calculation'!$B3:$DG3)</f>
        <v>0</v>
      </c>
      <c r="BK3">
        <f>'Methods and calculation'!BK3/MAX('Methods and calculation'!$B3:$DG3)</f>
        <v>0</v>
      </c>
      <c r="BL3">
        <f>'Methods and calculation'!BL3/MAX('Methods and calculation'!$B3:$DG3)</f>
        <v>1</v>
      </c>
      <c r="BM3">
        <f>'Methods and calculation'!BM3/MAX('Methods and calculation'!$B3:$DG3)</f>
        <v>1.7857142857142856E-2</v>
      </c>
      <c r="BN3">
        <f>'Methods and calculation'!BN3/MAX('Methods and calculation'!$B3:$DG3)</f>
        <v>0.8928571428571429</v>
      </c>
      <c r="BO3">
        <f>'Methods and calculation'!BO3/MAX('Methods and calculation'!$B3:$DG3)</f>
        <v>0.29464285714285715</v>
      </c>
      <c r="BP3">
        <f>'Methods and calculation'!BP3/MAX('Methods and calculation'!$B3:$DG3)</f>
        <v>0.49107142857142855</v>
      </c>
      <c r="BQ3">
        <f>'Methods and calculation'!BQ3/MAX('Methods and calculation'!$B3:$DG3)</f>
        <v>0.4732142857142857</v>
      </c>
      <c r="BR3">
        <f>'Methods and calculation'!BR3/MAX('Methods and calculation'!$B3:$DG3)</f>
        <v>0.20535714285714285</v>
      </c>
      <c r="BS3">
        <f>'Methods and calculation'!BS3/MAX('Methods and calculation'!$B3:$DG3)</f>
        <v>0.10714285714285714</v>
      </c>
      <c r="BT3">
        <f>'Methods and calculation'!BT3/MAX('Methods and calculation'!$B3:$DG3)</f>
        <v>0</v>
      </c>
      <c r="BU3">
        <f>'Methods and calculation'!BU3/MAX('Methods and calculation'!$B3:$DG3)</f>
        <v>0</v>
      </c>
      <c r="BV3">
        <f>'Methods and calculation'!BV3/MAX('Methods and calculation'!$B3:$DG3)</f>
        <v>1</v>
      </c>
      <c r="BW3">
        <f>'Methods and calculation'!BW3/MAX('Methods and calculation'!$B3:$DG3)</f>
        <v>1.7857142857142856E-2</v>
      </c>
      <c r="BX3">
        <f>'Methods and calculation'!BX3/MAX('Methods and calculation'!$B3:$DG3)</f>
        <v>0.8928571428571429</v>
      </c>
      <c r="BY3">
        <f>'Methods and calculation'!BY3/MAX('Methods and calculation'!$B3:$DG3)</f>
        <v>0.29464285714285715</v>
      </c>
      <c r="BZ3">
        <f>'Methods and calculation'!BZ3/MAX('Methods and calculation'!$B3:$DG3)</f>
        <v>0.49107142857142855</v>
      </c>
      <c r="CA3">
        <f>'Methods and calculation'!CA3/MAX('Methods and calculation'!$B3:$DG3)</f>
        <v>0.4732142857142857</v>
      </c>
      <c r="CB3">
        <f>'Methods and calculation'!CB3/MAX('Methods and calculation'!$B3:$DG3)</f>
        <v>0.20535714285714285</v>
      </c>
      <c r="CC3">
        <f>'Methods and calculation'!CC3/MAX('Methods and calculation'!$B3:$DG3)</f>
        <v>0.10714285714285714</v>
      </c>
      <c r="CD3">
        <f>'Methods and calculation'!CD3/MAX('Methods and calculation'!$B3:$DG3)</f>
        <v>0</v>
      </c>
      <c r="CE3">
        <f>'Methods and calculation'!CE3/MAX('Methods and calculation'!$B3:$DG3)</f>
        <v>0</v>
      </c>
      <c r="CF3">
        <f>'Methods and calculation'!CF3/MAX('Methods and calculation'!$B3:$DG3)</f>
        <v>1</v>
      </c>
      <c r="CG3">
        <f>'Methods and calculation'!CG3/MAX('Methods and calculation'!$B3:$DG3)</f>
        <v>1.7857142857142856E-2</v>
      </c>
      <c r="CH3">
        <f>'Methods and calculation'!CH3/MAX('Methods and calculation'!$B3:$DG3)</f>
        <v>0.8928571428571429</v>
      </c>
      <c r="CI3">
        <f>'Methods and calculation'!CI3/MAX('Methods and calculation'!$B3:$DG3)</f>
        <v>0.29464285714285715</v>
      </c>
      <c r="CJ3">
        <f>'Methods and calculation'!CJ3/MAX('Methods and calculation'!$B3:$DG3)</f>
        <v>0.49107142857142855</v>
      </c>
      <c r="CK3">
        <f>'Methods and calculation'!CK3/MAX('Methods and calculation'!$B3:$DG3)</f>
        <v>0.4732142857142857</v>
      </c>
      <c r="CL3">
        <f>'Methods and calculation'!CL3/MAX('Methods and calculation'!$B3:$DG3)</f>
        <v>0.20535714285714285</v>
      </c>
      <c r="CM3">
        <f>'Methods and calculation'!CM3/MAX('Methods and calculation'!$B3:$DG3)</f>
        <v>0.10714285714285714</v>
      </c>
      <c r="CN3">
        <f>'Methods and calculation'!CN3/MAX('Methods and calculation'!$B3:$DG3)</f>
        <v>0</v>
      </c>
      <c r="CO3">
        <f>'Methods and calculation'!CO3/MAX('Methods and calculation'!$B3:$DG3)</f>
        <v>0</v>
      </c>
      <c r="CP3">
        <f>'Methods and calculation'!CP3/MAX('Methods and calculation'!$B3:$DG3)</f>
        <v>1</v>
      </c>
      <c r="CQ3">
        <f>'Methods and calculation'!CQ3/MAX('Methods and calculation'!$B3:$DG3)</f>
        <v>1.7857142857142856E-2</v>
      </c>
      <c r="CR3">
        <f>'Methods and calculation'!CR3/MAX('Methods and calculation'!$B3:$DG3)</f>
        <v>0.8928571428571429</v>
      </c>
      <c r="CS3">
        <f>'Methods and calculation'!CS3/MAX('Methods and calculation'!$B3:$DG3)</f>
        <v>0.29464285714285715</v>
      </c>
      <c r="CT3">
        <f>'Methods and calculation'!CT3/MAX('Methods and calculation'!$B3:$DG3)</f>
        <v>0.49107142857142855</v>
      </c>
      <c r="CU3">
        <f>'Methods and calculation'!CU3/MAX('Methods and calculation'!$B3:$DG3)</f>
        <v>0.4732142857142857</v>
      </c>
      <c r="CV3">
        <f>'Methods and calculation'!CV3/MAX('Methods and calculation'!$B3:$DG3)</f>
        <v>0.20535714285714285</v>
      </c>
      <c r="CW3">
        <f>'Methods and calculation'!CW3/MAX('Methods and calculation'!$B3:$DG3)</f>
        <v>0.10714285714285714</v>
      </c>
      <c r="CX3">
        <f>'Methods and calculation'!CX3/MAX('Methods and calculation'!$B3:$DG3)</f>
        <v>0</v>
      </c>
      <c r="CY3">
        <f>'Methods and calculation'!CY3/MAX('Methods and calculation'!$B3:$DG3)</f>
        <v>0</v>
      </c>
      <c r="CZ3">
        <f>'Methods and calculation'!CZ3/MAX('Methods and calculation'!$B3:$DG3)</f>
        <v>1</v>
      </c>
      <c r="DA3">
        <f>'Methods and calculation'!DA3/MAX('Methods and calculation'!$B3:$DG3)</f>
        <v>1.7857142857142856E-2</v>
      </c>
      <c r="DB3">
        <f>'Methods and calculation'!DB3/MAX('Methods and calculation'!$B3:$DG3)</f>
        <v>0.8928571428571429</v>
      </c>
      <c r="DC3">
        <f>'Methods and calculation'!DC3/MAX('Methods and calculation'!$B3:$DG3)</f>
        <v>0.29464285714285715</v>
      </c>
      <c r="DD3">
        <f>'Methods and calculation'!DD3/MAX('Methods and calculation'!$B3:$DG3)</f>
        <v>0.49107142857142855</v>
      </c>
      <c r="DE3">
        <f>'Methods and calculation'!DE3/MAX('Methods and calculation'!$B3:$DG3)</f>
        <v>0.4732142857142857</v>
      </c>
      <c r="DF3">
        <f>'Methods and calculation'!DF3/MAX('Methods and calculation'!$B3:$DG3)</f>
        <v>0.20535714285714285</v>
      </c>
      <c r="DG3">
        <f>'Methods and calculation'!DG3/MAX('Methods and calculation'!$B3:$DG3)</f>
        <v>0.10714285714285714</v>
      </c>
    </row>
    <row r="4" spans="1:111" x14ac:dyDescent="0.35">
      <c r="A4" t="s">
        <v>113</v>
      </c>
      <c r="B4">
        <f>'Methods and calculation'!B4/MAX('Methods and calculation'!$B4:$DG4)</f>
        <v>0.9423868312757202</v>
      </c>
      <c r="C4">
        <f>'Methods and calculation'!C4/MAX('Methods and calculation'!$B4:$DG4)</f>
        <v>0.96604938271604934</v>
      </c>
      <c r="D4">
        <f>'Methods and calculation'!D4/MAX('Methods and calculation'!$B4:$DG4)</f>
        <v>0.31378600823045266</v>
      </c>
      <c r="E4">
        <f>'Methods and calculation'!E4/MAX('Methods and calculation'!$B4:$DG4)</f>
        <v>0.97942386831275718</v>
      </c>
      <c r="F4">
        <f>'Methods and calculation'!F4/MAX('Methods and calculation'!$B4:$DG4)</f>
        <v>0.13168724279835392</v>
      </c>
      <c r="G4">
        <f>'Methods and calculation'!G4/MAX('Methods and calculation'!$B4:$DG4)</f>
        <v>8.3333333333333329E-2</v>
      </c>
      <c r="H4">
        <f>'Methods and calculation'!H4/MAX('Methods and calculation'!$B4:$DG4)</f>
        <v>0.93415637860082301</v>
      </c>
      <c r="I4">
        <f>'Methods and calculation'!I4/MAX('Methods and calculation'!$B4:$DG4)</f>
        <v>0.76543209876543206</v>
      </c>
      <c r="J4">
        <f>'Methods and calculation'!J4/MAX('Methods and calculation'!$B4:$DG4)</f>
        <v>0.34259259259259262</v>
      </c>
      <c r="K4">
        <f>'Methods and calculation'!K4/MAX('Methods and calculation'!$B4:$DG4)</f>
        <v>0.88683127572016462</v>
      </c>
      <c r="L4">
        <f>'Methods and calculation'!L4/MAX('Methods and calculation'!$B4:$DG4)</f>
        <v>0.62345679012345678</v>
      </c>
      <c r="M4">
        <f>'Methods and calculation'!M4/MAX('Methods and calculation'!$B4:$DG4)</f>
        <v>0.36213991769547327</v>
      </c>
      <c r="N4">
        <f>'Methods and calculation'!N4/MAX('Methods and calculation'!$B4:$DG4)</f>
        <v>0.23971193415637859</v>
      </c>
      <c r="O4">
        <f>'Methods and calculation'!O4/MAX('Methods and calculation'!$B4:$DG4)</f>
        <v>0.51646090534979427</v>
      </c>
      <c r="P4">
        <f>'Methods and calculation'!P4/MAX('Methods and calculation'!$B4:$DG4)</f>
        <v>0.71296296296296291</v>
      </c>
      <c r="Q4">
        <f>'Methods and calculation'!Q4/MAX('Methods and calculation'!$B4:$DG4)</f>
        <v>0.85185185185185186</v>
      </c>
      <c r="R4">
        <f>'Methods and calculation'!R4/MAX('Methods and calculation'!$B4:$DG4)</f>
        <v>0.19444444444444445</v>
      </c>
      <c r="S4">
        <f>'Methods and calculation'!S4/MAX('Methods and calculation'!$B4:$DG4)</f>
        <v>9.1563786008230452E-2</v>
      </c>
      <c r="T4">
        <f>'Methods and calculation'!T4/MAX('Methods and calculation'!$B4:$DG4)</f>
        <v>0.72530864197530864</v>
      </c>
      <c r="U4">
        <f>'Methods and calculation'!U4/MAX('Methods and calculation'!$B4:$DG4)</f>
        <v>0.5</v>
      </c>
      <c r="V4">
        <f>'Methods and calculation'!V4/MAX('Methods and calculation'!$B4:$DG4)</f>
        <v>0.14609053497942387</v>
      </c>
      <c r="W4">
        <f>'Methods and calculation'!W4/MAX('Methods and calculation'!$B4:$DG4)</f>
        <v>0.59156378600823045</v>
      </c>
      <c r="X4">
        <f>'Methods and calculation'!X4/MAX('Methods and calculation'!$B4:$DG4)</f>
        <v>1</v>
      </c>
      <c r="Y4">
        <f>'Methods and calculation'!Y4/MAX('Methods and calculation'!$B4:$DG4)</f>
        <v>0.22839506172839505</v>
      </c>
      <c r="Z4">
        <f>'Methods and calculation'!Z4/MAX('Methods and calculation'!$B4:$DG4)</f>
        <v>0.61008230452674894</v>
      </c>
      <c r="AA4">
        <f>'Methods and calculation'!AA4/MAX('Methods and calculation'!$B4:$DG4)</f>
        <v>0.26646090534979422</v>
      </c>
      <c r="AB4">
        <f>'Methods and calculation'!AB4/MAX('Methods and calculation'!$B4:$DG4)</f>
        <v>0.50617283950617287</v>
      </c>
      <c r="AC4">
        <f>'Methods and calculation'!AC4/MAX('Methods and calculation'!$B4:$DG4)</f>
        <v>0.23353909465020575</v>
      </c>
      <c r="AD4">
        <f>'Methods and calculation'!AD4/MAX('Methods and calculation'!$B4:$DG4)</f>
        <v>0.20061728395061729</v>
      </c>
      <c r="AE4">
        <f>'Methods and calculation'!AE4/MAX('Methods and calculation'!$B4:$DG4)</f>
        <v>0.38477366255144035</v>
      </c>
      <c r="AF4">
        <f>'Methods and calculation'!AF4/MAX('Methods and calculation'!$B4:$DG4)</f>
        <v>0.55452674897119336</v>
      </c>
      <c r="AG4">
        <f>'Methods and calculation'!AG4/MAX('Methods and calculation'!$B4:$DG4)</f>
        <v>2.05761316872428E-3</v>
      </c>
      <c r="AH4">
        <f>'Methods and calculation'!AH4/MAX('Methods and calculation'!$B4:$DG4)</f>
        <v>0.88991769547325106</v>
      </c>
      <c r="AI4">
        <f>'Methods and calculation'!AI4/MAX('Methods and calculation'!$B4:$DG4)</f>
        <v>0.3168724279835391</v>
      </c>
      <c r="AJ4">
        <f>'Methods and calculation'!AJ4/MAX('Methods and calculation'!$B4:$DG4)</f>
        <v>0.12139917695473251</v>
      </c>
      <c r="AK4">
        <f>'Methods and calculation'!AK4/MAX('Methods and calculation'!$B4:$DG4)</f>
        <v>0.12962962962962962</v>
      </c>
      <c r="AL4">
        <f>'Methods and calculation'!AL4/MAX('Methods and calculation'!$B4:$DG4)</f>
        <v>0.90637860082304522</v>
      </c>
      <c r="AM4">
        <f>'Methods and calculation'!AM4/MAX('Methods and calculation'!$B4:$DG4)</f>
        <v>0.12962962962962962</v>
      </c>
      <c r="AN4">
        <f>'Methods and calculation'!AN4/MAX('Methods and calculation'!$B4:$DG4)</f>
        <v>0.6635802469135802</v>
      </c>
      <c r="AO4">
        <f>'Methods and calculation'!AO4/MAX('Methods and calculation'!$B4:$DG4)</f>
        <v>0.89300411522633749</v>
      </c>
      <c r="AP4">
        <f>'Methods and calculation'!AP4/MAX('Methods and calculation'!$B4:$DG4)</f>
        <v>0.97016460905349799</v>
      </c>
      <c r="AQ4">
        <f>'Methods and calculation'!AQ4/MAX('Methods and calculation'!$B4:$DG4)</f>
        <v>0.49691358024691357</v>
      </c>
      <c r="AR4">
        <f>'Methods and calculation'!AR4/MAX('Methods and calculation'!$B4:$DG4)</f>
        <v>0.7211934156378601</v>
      </c>
      <c r="AS4">
        <f>'Methods and calculation'!AS4/MAX('Methods and calculation'!$B4:$DG4)</f>
        <v>0.19547325102880658</v>
      </c>
      <c r="AT4">
        <f>'Methods and calculation'!AT4/MAX('Methods and calculation'!$B4:$DG4)</f>
        <v>0.25823045267489714</v>
      </c>
      <c r="AU4">
        <f>'Methods and calculation'!AU4/MAX('Methods and calculation'!$B4:$DG4)</f>
        <v>0.89711934156378603</v>
      </c>
      <c r="AV4">
        <f>'Methods and calculation'!AV4/MAX('Methods and calculation'!$B4:$DG4)</f>
        <v>0.93106995884773658</v>
      </c>
      <c r="AW4">
        <f>'Methods and calculation'!AW4/MAX('Methods and calculation'!$B4:$DG4)</f>
        <v>0.65020576131687247</v>
      </c>
      <c r="AX4">
        <f>'Methods and calculation'!AX4/MAX('Methods and calculation'!$B4:$DG4)</f>
        <v>0.86625514403292181</v>
      </c>
      <c r="AY4">
        <f>'Methods and calculation'!AY4/MAX('Methods and calculation'!$B4:$DG4)</f>
        <v>4.3209876543209874E-2</v>
      </c>
      <c r="AZ4">
        <f>'Methods and calculation'!AZ4/MAX('Methods and calculation'!$B4:$DG4)</f>
        <v>0.53189300411522633</v>
      </c>
      <c r="BA4">
        <f>'Methods and calculation'!BA4/MAX('Methods and calculation'!$B4:$DG4)</f>
        <v>0.97736625514403297</v>
      </c>
      <c r="BB4">
        <f>'Methods and calculation'!BB4/MAX('Methods and calculation'!$B4:$DG4)</f>
        <v>0.91666666666666663</v>
      </c>
      <c r="BC4">
        <f>'Methods and calculation'!BC4/MAX('Methods and calculation'!$B4:$DG4)</f>
        <v>0.55144032921810704</v>
      </c>
      <c r="BD4">
        <f>'Methods and calculation'!BD4/MAX('Methods and calculation'!$B4:$DG4)</f>
        <v>0.47530864197530864</v>
      </c>
      <c r="BE4">
        <f>'Methods and calculation'!BE4/MAX('Methods and calculation'!$B4:$DG4)</f>
        <v>0.9423868312757202</v>
      </c>
      <c r="BF4">
        <f>'Methods and calculation'!BF4/MAX('Methods and calculation'!$B4:$DG4)</f>
        <v>0.96604938271604934</v>
      </c>
      <c r="BG4">
        <f>'Methods and calculation'!BG4/MAX('Methods and calculation'!$B4:$DG4)</f>
        <v>0.31378600823045266</v>
      </c>
      <c r="BH4">
        <f>'Methods and calculation'!BH4/MAX('Methods and calculation'!$B4:$DG4)</f>
        <v>0.97942386831275718</v>
      </c>
      <c r="BI4">
        <f>'Methods and calculation'!BI4/MAX('Methods and calculation'!$B4:$DG4)</f>
        <v>0.13168724279835392</v>
      </c>
      <c r="BJ4">
        <f>'Methods and calculation'!BJ4/MAX('Methods and calculation'!$B4:$DG4)</f>
        <v>8.3333333333333329E-2</v>
      </c>
      <c r="BK4">
        <f>'Methods and calculation'!BK4/MAX('Methods and calculation'!$B4:$DG4)</f>
        <v>0.93415637860082301</v>
      </c>
      <c r="BL4">
        <f>'Methods and calculation'!BL4/MAX('Methods and calculation'!$B4:$DG4)</f>
        <v>0.76543209876543206</v>
      </c>
      <c r="BM4">
        <f>'Methods and calculation'!BM4/MAX('Methods and calculation'!$B4:$DG4)</f>
        <v>0.34259259259259262</v>
      </c>
      <c r="BN4">
        <f>'Methods and calculation'!BN4/MAX('Methods and calculation'!$B4:$DG4)</f>
        <v>0.88683127572016462</v>
      </c>
      <c r="BO4">
        <f>'Methods and calculation'!BO4/MAX('Methods and calculation'!$B4:$DG4)</f>
        <v>0.62345679012345678</v>
      </c>
      <c r="BP4">
        <f>'Methods and calculation'!BP4/MAX('Methods and calculation'!$B4:$DG4)</f>
        <v>0.36213991769547327</v>
      </c>
      <c r="BQ4">
        <f>'Methods and calculation'!BQ4/MAX('Methods and calculation'!$B4:$DG4)</f>
        <v>0.23971193415637859</v>
      </c>
      <c r="BR4">
        <f>'Methods and calculation'!BR4/MAX('Methods and calculation'!$B4:$DG4)</f>
        <v>0.51646090534979427</v>
      </c>
      <c r="BS4">
        <f>'Methods and calculation'!BS4/MAX('Methods and calculation'!$B4:$DG4)</f>
        <v>0.71296296296296291</v>
      </c>
      <c r="BT4">
        <f>'Methods and calculation'!BT4/MAX('Methods and calculation'!$B4:$DG4)</f>
        <v>0.85185185185185186</v>
      </c>
      <c r="BU4">
        <f>'Methods and calculation'!BU4/MAX('Methods and calculation'!$B4:$DG4)</f>
        <v>0.19444444444444445</v>
      </c>
      <c r="BV4">
        <f>'Methods and calculation'!BV4/MAX('Methods and calculation'!$B4:$DG4)</f>
        <v>9.1563786008230452E-2</v>
      </c>
      <c r="BW4">
        <f>'Methods and calculation'!BW4/MAX('Methods and calculation'!$B4:$DG4)</f>
        <v>0.72530864197530864</v>
      </c>
      <c r="BX4">
        <f>'Methods and calculation'!BX4/MAX('Methods and calculation'!$B4:$DG4)</f>
        <v>0.5</v>
      </c>
      <c r="BY4">
        <f>'Methods and calculation'!BY4/MAX('Methods and calculation'!$B4:$DG4)</f>
        <v>0.14609053497942387</v>
      </c>
      <c r="BZ4">
        <f>'Methods and calculation'!BZ4/MAX('Methods and calculation'!$B4:$DG4)</f>
        <v>0.59156378600823045</v>
      </c>
      <c r="CA4">
        <f>'Methods and calculation'!CA4/MAX('Methods and calculation'!$B4:$DG4)</f>
        <v>1</v>
      </c>
      <c r="CB4">
        <f>'Methods and calculation'!CB4/MAX('Methods and calculation'!$B4:$DG4)</f>
        <v>0.22839506172839505</v>
      </c>
      <c r="CC4">
        <f>'Methods and calculation'!CC4/MAX('Methods and calculation'!$B4:$DG4)</f>
        <v>0.61008230452674894</v>
      </c>
      <c r="CD4">
        <f>'Methods and calculation'!CD4/MAX('Methods and calculation'!$B4:$DG4)</f>
        <v>0.26646090534979422</v>
      </c>
      <c r="CE4">
        <f>'Methods and calculation'!CE4/MAX('Methods and calculation'!$B4:$DG4)</f>
        <v>0.50617283950617287</v>
      </c>
      <c r="CF4">
        <f>'Methods and calculation'!CF4/MAX('Methods and calculation'!$B4:$DG4)</f>
        <v>0.23353909465020575</v>
      </c>
      <c r="CG4">
        <f>'Methods and calculation'!CG4/MAX('Methods and calculation'!$B4:$DG4)</f>
        <v>0.20061728395061729</v>
      </c>
      <c r="CH4">
        <f>'Methods and calculation'!CH4/MAX('Methods and calculation'!$B4:$DG4)</f>
        <v>0.38477366255144035</v>
      </c>
      <c r="CI4">
        <f>'Methods and calculation'!CI4/MAX('Methods and calculation'!$B4:$DG4)</f>
        <v>0.55452674897119336</v>
      </c>
      <c r="CJ4">
        <f>'Methods and calculation'!CJ4/MAX('Methods and calculation'!$B4:$DG4)</f>
        <v>2.05761316872428E-3</v>
      </c>
      <c r="CK4">
        <f>'Methods and calculation'!CK4/MAX('Methods and calculation'!$B4:$DG4)</f>
        <v>0.88991769547325106</v>
      </c>
      <c r="CL4">
        <f>'Methods and calculation'!CL4/MAX('Methods and calculation'!$B4:$DG4)</f>
        <v>0.3168724279835391</v>
      </c>
      <c r="CM4">
        <f>'Methods and calculation'!CM4/MAX('Methods and calculation'!$B4:$DG4)</f>
        <v>0.12139917695473251</v>
      </c>
      <c r="CN4">
        <f>'Methods and calculation'!CN4/MAX('Methods and calculation'!$B4:$DG4)</f>
        <v>0.12962962962962962</v>
      </c>
      <c r="CO4">
        <f>'Methods and calculation'!CO4/MAX('Methods and calculation'!$B4:$DG4)</f>
        <v>0.90637860082304522</v>
      </c>
      <c r="CP4">
        <f>'Methods and calculation'!CP4/MAX('Methods and calculation'!$B4:$DG4)</f>
        <v>0.12962962962962962</v>
      </c>
      <c r="CQ4">
        <f>'Methods and calculation'!CQ4/MAX('Methods and calculation'!$B4:$DG4)</f>
        <v>0.6635802469135802</v>
      </c>
      <c r="CR4">
        <f>'Methods and calculation'!CR4/MAX('Methods and calculation'!$B4:$DG4)</f>
        <v>0.89300411522633749</v>
      </c>
      <c r="CS4">
        <f>'Methods and calculation'!CS4/MAX('Methods and calculation'!$B4:$DG4)</f>
        <v>0.97016460905349799</v>
      </c>
      <c r="CT4">
        <f>'Methods and calculation'!CT4/MAX('Methods and calculation'!$B4:$DG4)</f>
        <v>0.49691358024691357</v>
      </c>
      <c r="CU4">
        <f>'Methods and calculation'!CU4/MAX('Methods and calculation'!$B4:$DG4)</f>
        <v>0.7211934156378601</v>
      </c>
      <c r="CV4">
        <f>'Methods and calculation'!CV4/MAX('Methods and calculation'!$B4:$DG4)</f>
        <v>0.19547325102880658</v>
      </c>
      <c r="CW4">
        <f>'Methods and calculation'!CW4/MAX('Methods and calculation'!$B4:$DG4)</f>
        <v>0.25823045267489714</v>
      </c>
      <c r="CX4">
        <f>'Methods and calculation'!CX4/MAX('Methods and calculation'!$B4:$DG4)</f>
        <v>0.89711934156378603</v>
      </c>
      <c r="CY4">
        <f>'Methods and calculation'!CY4/MAX('Methods and calculation'!$B4:$DG4)</f>
        <v>0.93106995884773658</v>
      </c>
      <c r="CZ4">
        <f>'Methods and calculation'!CZ4/MAX('Methods and calculation'!$B4:$DG4)</f>
        <v>0.65020576131687247</v>
      </c>
      <c r="DA4">
        <f>'Methods and calculation'!DA4/MAX('Methods and calculation'!$B4:$DG4)</f>
        <v>0.86625514403292181</v>
      </c>
      <c r="DB4">
        <f>'Methods and calculation'!DB4/MAX('Methods and calculation'!$B4:$DG4)</f>
        <v>4.3209876543209874E-2</v>
      </c>
      <c r="DC4">
        <f>'Methods and calculation'!DC4/MAX('Methods and calculation'!$B4:$DG4)</f>
        <v>0.53189300411522633</v>
      </c>
      <c r="DD4">
        <f>'Methods and calculation'!DD4/MAX('Methods and calculation'!$B4:$DG4)</f>
        <v>0.97736625514403297</v>
      </c>
      <c r="DE4">
        <f>'Methods and calculation'!DE4/MAX('Methods and calculation'!$B4:$DG4)</f>
        <v>0.91666666666666663</v>
      </c>
      <c r="DF4">
        <f>'Methods and calculation'!DF4/MAX('Methods and calculation'!$B4:$DG4)</f>
        <v>0.55144032921810704</v>
      </c>
      <c r="DG4">
        <f>'Methods and calculation'!DG4/MAX('Methods and calculation'!$B4:$DG4)</f>
        <v>0.47530864197530864</v>
      </c>
    </row>
    <row r="5" spans="1:111" x14ac:dyDescent="0.35">
      <c r="A5" t="s">
        <v>114</v>
      </c>
      <c r="B5">
        <f>'Methods and calculation'!B5/MAX('Methods and calculation'!$B5:$DG5)</f>
        <v>0.16108786610878661</v>
      </c>
      <c r="C5">
        <f>'Methods and calculation'!C5/MAX('Methods and calculation'!$B5:$DG5)</f>
        <v>0.67364016736401677</v>
      </c>
      <c r="D5">
        <f>'Methods and calculation'!D5/MAX('Methods and calculation'!$B5:$DG5)</f>
        <v>0.54393305439330542</v>
      </c>
      <c r="E5">
        <f>'Methods and calculation'!E5/MAX('Methods and calculation'!$B5:$DG5)</f>
        <v>0.4874476987447699</v>
      </c>
      <c r="F5">
        <f>'Methods and calculation'!F5/MAX('Methods and calculation'!$B5:$DG5)</f>
        <v>0.59414225941422594</v>
      </c>
      <c r="G5">
        <f>'Methods and calculation'!G5/MAX('Methods and calculation'!$B5:$DG5)</f>
        <v>0.83472803347280333</v>
      </c>
      <c r="H5">
        <f>'Methods and calculation'!H5/MAX('Methods and calculation'!$B5:$DG5)</f>
        <v>0.77405857740585771</v>
      </c>
      <c r="I5">
        <f>'Methods and calculation'!I5/MAX('Methods and calculation'!$B5:$DG5)</f>
        <v>0.43723849372384938</v>
      </c>
      <c r="J5">
        <f>'Methods and calculation'!J5/MAX('Methods and calculation'!$B5:$DG5)</f>
        <v>0.76987447698744771</v>
      </c>
      <c r="K5">
        <f>'Methods and calculation'!K5/MAX('Methods and calculation'!$B5:$DG5)</f>
        <v>0.502092050209205</v>
      </c>
      <c r="L5">
        <f>'Methods and calculation'!L5/MAX('Methods and calculation'!$B5:$DG5)</f>
        <v>0.73221757322175729</v>
      </c>
      <c r="M5">
        <f>'Methods and calculation'!M5/MAX('Methods and calculation'!$B5:$DG5)</f>
        <v>0.84100418410041844</v>
      </c>
      <c r="N5">
        <f>'Methods and calculation'!N5/MAX('Methods and calculation'!$B5:$DG5)</f>
        <v>0.71757322175732219</v>
      </c>
      <c r="O5">
        <f>'Methods and calculation'!O5/MAX('Methods and calculation'!$B5:$DG5)</f>
        <v>0.42677824267782427</v>
      </c>
      <c r="P5">
        <f>'Methods and calculation'!P5/MAX('Methods and calculation'!$B5:$DG5)</f>
        <v>0.62343096234309625</v>
      </c>
      <c r="Q5">
        <f>'Methods and calculation'!Q5/MAX('Methods and calculation'!$B5:$DG5)</f>
        <v>0.47280334728033474</v>
      </c>
      <c r="R5">
        <f>'Methods and calculation'!R5/MAX('Methods and calculation'!$B5:$DG5)</f>
        <v>0.49163179916317989</v>
      </c>
      <c r="S5">
        <f>'Methods and calculation'!S5/MAX('Methods and calculation'!$B5:$DG5)</f>
        <v>8.368200836820083E-3</v>
      </c>
      <c r="T5">
        <f>'Methods and calculation'!T5/MAX('Methods and calculation'!$B5:$DG5)</f>
        <v>1</v>
      </c>
      <c r="U5">
        <f>'Methods and calculation'!U5/MAX('Methods and calculation'!$B5:$DG5)</f>
        <v>0.36401673640167365</v>
      </c>
      <c r="V5">
        <f>'Methods and calculation'!V5/MAX('Methods and calculation'!$B5:$DG5)</f>
        <v>0.94351464435146448</v>
      </c>
      <c r="W5">
        <f>'Methods and calculation'!W5/MAX('Methods and calculation'!$B5:$DG5)</f>
        <v>0.61715481171548114</v>
      </c>
      <c r="X5">
        <f>'Methods and calculation'!X5/MAX('Methods and calculation'!$B5:$DG5)</f>
        <v>0.16108786610878661</v>
      </c>
      <c r="Y5">
        <f>'Methods and calculation'!Y5/MAX('Methods and calculation'!$B5:$DG5)</f>
        <v>0.67364016736401677</v>
      </c>
      <c r="Z5">
        <f>'Methods and calculation'!Z5/MAX('Methods and calculation'!$B5:$DG5)</f>
        <v>0.54393305439330542</v>
      </c>
      <c r="AA5">
        <f>'Methods and calculation'!AA5/MAX('Methods and calculation'!$B5:$DG5)</f>
        <v>0.4874476987447699</v>
      </c>
      <c r="AB5">
        <f>'Methods and calculation'!AB5/MAX('Methods and calculation'!$B5:$DG5)</f>
        <v>0.59414225941422594</v>
      </c>
      <c r="AC5">
        <f>'Methods and calculation'!AC5/MAX('Methods and calculation'!$B5:$DG5)</f>
        <v>0.83472803347280333</v>
      </c>
      <c r="AD5">
        <f>'Methods and calculation'!AD5/MAX('Methods and calculation'!$B5:$DG5)</f>
        <v>0.77405857740585771</v>
      </c>
      <c r="AE5">
        <f>'Methods and calculation'!AE5/MAX('Methods and calculation'!$B5:$DG5)</f>
        <v>0.43723849372384938</v>
      </c>
      <c r="AF5">
        <f>'Methods and calculation'!AF5/MAX('Methods and calculation'!$B5:$DG5)</f>
        <v>0.76987447698744771</v>
      </c>
      <c r="AG5">
        <f>'Methods and calculation'!AG5/MAX('Methods and calculation'!$B5:$DG5)</f>
        <v>0.502092050209205</v>
      </c>
      <c r="AH5">
        <f>'Methods and calculation'!AH5/MAX('Methods and calculation'!$B5:$DG5)</f>
        <v>0.73221757322175729</v>
      </c>
      <c r="AI5">
        <f>'Methods and calculation'!AI5/MAX('Methods and calculation'!$B5:$DG5)</f>
        <v>0.84100418410041844</v>
      </c>
      <c r="AJ5">
        <f>'Methods and calculation'!AJ5/MAX('Methods and calculation'!$B5:$DG5)</f>
        <v>0.71757322175732219</v>
      </c>
      <c r="AK5">
        <f>'Methods and calculation'!AK5/MAX('Methods and calculation'!$B5:$DG5)</f>
        <v>0.42677824267782427</v>
      </c>
      <c r="AL5">
        <f>'Methods and calculation'!AL5/MAX('Methods and calculation'!$B5:$DG5)</f>
        <v>0.62343096234309625</v>
      </c>
      <c r="AM5">
        <f>'Methods and calculation'!AM5/MAX('Methods and calculation'!$B5:$DG5)</f>
        <v>0.47280334728033474</v>
      </c>
      <c r="AN5">
        <f>'Methods and calculation'!AN5/MAX('Methods and calculation'!$B5:$DG5)</f>
        <v>0.49163179916317989</v>
      </c>
      <c r="AO5">
        <f>'Methods and calculation'!AO5/MAX('Methods and calculation'!$B5:$DG5)</f>
        <v>8.368200836820083E-3</v>
      </c>
      <c r="AP5">
        <f>'Methods and calculation'!AP5/MAX('Methods and calculation'!$B5:$DG5)</f>
        <v>1</v>
      </c>
      <c r="AQ5">
        <f>'Methods and calculation'!AQ5/MAX('Methods and calculation'!$B5:$DG5)</f>
        <v>0.36401673640167365</v>
      </c>
      <c r="AR5">
        <f>'Methods and calculation'!AR5/MAX('Methods and calculation'!$B5:$DG5)</f>
        <v>0.94351464435146448</v>
      </c>
      <c r="AS5">
        <f>'Methods and calculation'!AS5/MAX('Methods and calculation'!$B5:$DG5)</f>
        <v>0.61715481171548114</v>
      </c>
      <c r="AT5">
        <f>'Methods and calculation'!AT5/MAX('Methods and calculation'!$B5:$DG5)</f>
        <v>0.16108786610878661</v>
      </c>
      <c r="AU5">
        <f>'Methods and calculation'!AU5/MAX('Methods and calculation'!$B5:$DG5)</f>
        <v>0.67364016736401677</v>
      </c>
      <c r="AV5">
        <f>'Methods and calculation'!AV5/MAX('Methods and calculation'!$B5:$DG5)</f>
        <v>0.54393305439330542</v>
      </c>
      <c r="AW5">
        <f>'Methods and calculation'!AW5/MAX('Methods and calculation'!$B5:$DG5)</f>
        <v>0.4874476987447699</v>
      </c>
      <c r="AX5">
        <f>'Methods and calculation'!AX5/MAX('Methods and calculation'!$B5:$DG5)</f>
        <v>0.59414225941422594</v>
      </c>
      <c r="AY5">
        <f>'Methods and calculation'!AY5/MAX('Methods and calculation'!$B5:$DG5)</f>
        <v>0.83472803347280333</v>
      </c>
      <c r="AZ5">
        <f>'Methods and calculation'!AZ5/MAX('Methods and calculation'!$B5:$DG5)</f>
        <v>0.77405857740585771</v>
      </c>
      <c r="BA5">
        <f>'Methods and calculation'!BA5/MAX('Methods and calculation'!$B5:$DG5)</f>
        <v>0.43723849372384938</v>
      </c>
      <c r="BB5">
        <f>'Methods and calculation'!BB5/MAX('Methods and calculation'!$B5:$DG5)</f>
        <v>0.76987447698744771</v>
      </c>
      <c r="BC5">
        <f>'Methods and calculation'!BC5/MAX('Methods and calculation'!$B5:$DG5)</f>
        <v>0.502092050209205</v>
      </c>
      <c r="BD5">
        <f>'Methods and calculation'!BD5/MAX('Methods and calculation'!$B5:$DG5)</f>
        <v>0.73221757322175729</v>
      </c>
      <c r="BE5">
        <f>'Methods and calculation'!BE5/MAX('Methods and calculation'!$B5:$DG5)</f>
        <v>0.84100418410041844</v>
      </c>
      <c r="BF5">
        <f>'Methods and calculation'!BF5/MAX('Methods and calculation'!$B5:$DG5)</f>
        <v>0.71757322175732219</v>
      </c>
      <c r="BG5">
        <f>'Methods and calculation'!BG5/MAX('Methods and calculation'!$B5:$DG5)</f>
        <v>0.42677824267782427</v>
      </c>
      <c r="BH5">
        <f>'Methods and calculation'!BH5/MAX('Methods and calculation'!$B5:$DG5)</f>
        <v>0.62343096234309625</v>
      </c>
      <c r="BI5">
        <f>'Methods and calculation'!BI5/MAX('Methods and calculation'!$B5:$DG5)</f>
        <v>0.47280334728033474</v>
      </c>
      <c r="BJ5">
        <f>'Methods and calculation'!BJ5/MAX('Methods and calculation'!$B5:$DG5)</f>
        <v>0.49163179916317989</v>
      </c>
      <c r="BK5">
        <f>'Methods and calculation'!BK5/MAX('Methods and calculation'!$B5:$DG5)</f>
        <v>8.368200836820083E-3</v>
      </c>
      <c r="BL5">
        <f>'Methods and calculation'!BL5/MAX('Methods and calculation'!$B5:$DG5)</f>
        <v>1</v>
      </c>
      <c r="BM5">
        <f>'Methods and calculation'!BM5/MAX('Methods and calculation'!$B5:$DG5)</f>
        <v>0.36401673640167365</v>
      </c>
      <c r="BN5">
        <f>'Methods and calculation'!BN5/MAX('Methods and calculation'!$B5:$DG5)</f>
        <v>0.94351464435146448</v>
      </c>
      <c r="BO5">
        <f>'Methods and calculation'!BO5/MAX('Methods and calculation'!$B5:$DG5)</f>
        <v>0.61715481171548114</v>
      </c>
      <c r="BP5">
        <f>'Methods and calculation'!BP5/MAX('Methods and calculation'!$B5:$DG5)</f>
        <v>0.16108786610878661</v>
      </c>
      <c r="BQ5">
        <f>'Methods and calculation'!BQ5/MAX('Methods and calculation'!$B5:$DG5)</f>
        <v>0.67364016736401677</v>
      </c>
      <c r="BR5">
        <f>'Methods and calculation'!BR5/MAX('Methods and calculation'!$B5:$DG5)</f>
        <v>0.54393305439330542</v>
      </c>
      <c r="BS5">
        <f>'Methods and calculation'!BS5/MAX('Methods and calculation'!$B5:$DG5)</f>
        <v>0.4874476987447699</v>
      </c>
      <c r="BT5">
        <f>'Methods and calculation'!BT5/MAX('Methods and calculation'!$B5:$DG5)</f>
        <v>0.59414225941422594</v>
      </c>
      <c r="BU5">
        <f>'Methods and calculation'!BU5/MAX('Methods and calculation'!$B5:$DG5)</f>
        <v>0.83472803347280333</v>
      </c>
      <c r="BV5">
        <f>'Methods and calculation'!BV5/MAX('Methods and calculation'!$B5:$DG5)</f>
        <v>0.77405857740585771</v>
      </c>
      <c r="BW5">
        <f>'Methods and calculation'!BW5/MAX('Methods and calculation'!$B5:$DG5)</f>
        <v>0.43723849372384938</v>
      </c>
      <c r="BX5">
        <f>'Methods and calculation'!BX5/MAX('Methods and calculation'!$B5:$DG5)</f>
        <v>0.76987447698744771</v>
      </c>
      <c r="BY5">
        <f>'Methods and calculation'!BY5/MAX('Methods and calculation'!$B5:$DG5)</f>
        <v>0.502092050209205</v>
      </c>
      <c r="BZ5">
        <f>'Methods and calculation'!BZ5/MAX('Methods and calculation'!$B5:$DG5)</f>
        <v>0.73221757322175729</v>
      </c>
      <c r="CA5">
        <f>'Methods and calculation'!CA5/MAX('Methods and calculation'!$B5:$DG5)</f>
        <v>0.84100418410041844</v>
      </c>
      <c r="CB5">
        <f>'Methods and calculation'!CB5/MAX('Methods and calculation'!$B5:$DG5)</f>
        <v>0.71757322175732219</v>
      </c>
      <c r="CC5">
        <f>'Methods and calculation'!CC5/MAX('Methods and calculation'!$B5:$DG5)</f>
        <v>0.42677824267782427</v>
      </c>
      <c r="CD5">
        <f>'Methods and calculation'!CD5/MAX('Methods and calculation'!$B5:$DG5)</f>
        <v>0.62343096234309625</v>
      </c>
      <c r="CE5">
        <f>'Methods and calculation'!CE5/MAX('Methods and calculation'!$B5:$DG5)</f>
        <v>0.47280334728033474</v>
      </c>
      <c r="CF5">
        <f>'Methods and calculation'!CF5/MAX('Methods and calculation'!$B5:$DG5)</f>
        <v>0.49163179916317989</v>
      </c>
      <c r="CG5">
        <f>'Methods and calculation'!CG5/MAX('Methods and calculation'!$B5:$DG5)</f>
        <v>8.368200836820083E-3</v>
      </c>
      <c r="CH5">
        <f>'Methods and calculation'!CH5/MAX('Methods and calculation'!$B5:$DG5)</f>
        <v>1</v>
      </c>
      <c r="CI5">
        <f>'Methods and calculation'!CI5/MAX('Methods and calculation'!$B5:$DG5)</f>
        <v>0.36401673640167365</v>
      </c>
      <c r="CJ5">
        <f>'Methods and calculation'!CJ5/MAX('Methods and calculation'!$B5:$DG5)</f>
        <v>0.94351464435146448</v>
      </c>
      <c r="CK5">
        <f>'Methods and calculation'!CK5/MAX('Methods and calculation'!$B5:$DG5)</f>
        <v>0.61715481171548114</v>
      </c>
      <c r="CL5">
        <f>'Methods and calculation'!CL5/MAX('Methods and calculation'!$B5:$DG5)</f>
        <v>0.16108786610878661</v>
      </c>
      <c r="CM5">
        <f>'Methods and calculation'!CM5/MAX('Methods and calculation'!$B5:$DG5)</f>
        <v>0.67364016736401677</v>
      </c>
      <c r="CN5">
        <f>'Methods and calculation'!CN5/MAX('Methods and calculation'!$B5:$DG5)</f>
        <v>0.54393305439330542</v>
      </c>
      <c r="CO5">
        <f>'Methods and calculation'!CO5/MAX('Methods and calculation'!$B5:$DG5)</f>
        <v>0.4874476987447699</v>
      </c>
      <c r="CP5">
        <f>'Methods and calculation'!CP5/MAX('Methods and calculation'!$B5:$DG5)</f>
        <v>0.59414225941422594</v>
      </c>
      <c r="CQ5">
        <f>'Methods and calculation'!CQ5/MAX('Methods and calculation'!$B5:$DG5)</f>
        <v>0.83472803347280333</v>
      </c>
      <c r="CR5">
        <f>'Methods and calculation'!CR5/MAX('Methods and calculation'!$B5:$DG5)</f>
        <v>0.77405857740585771</v>
      </c>
      <c r="CS5">
        <f>'Methods and calculation'!CS5/MAX('Methods and calculation'!$B5:$DG5)</f>
        <v>0.43723849372384938</v>
      </c>
      <c r="CT5">
        <f>'Methods and calculation'!CT5/MAX('Methods and calculation'!$B5:$DG5)</f>
        <v>0.76987447698744771</v>
      </c>
      <c r="CU5">
        <f>'Methods and calculation'!CU5/MAX('Methods and calculation'!$B5:$DG5)</f>
        <v>0.502092050209205</v>
      </c>
      <c r="CV5">
        <f>'Methods and calculation'!CV5/MAX('Methods and calculation'!$B5:$DG5)</f>
        <v>0.73221757322175729</v>
      </c>
      <c r="CW5">
        <f>'Methods and calculation'!CW5/MAX('Methods and calculation'!$B5:$DG5)</f>
        <v>0.84100418410041844</v>
      </c>
      <c r="CX5">
        <f>'Methods and calculation'!CX5/MAX('Methods and calculation'!$B5:$DG5)</f>
        <v>0.71757322175732219</v>
      </c>
      <c r="CY5">
        <f>'Methods and calculation'!CY5/MAX('Methods and calculation'!$B5:$DG5)</f>
        <v>0.42677824267782427</v>
      </c>
      <c r="CZ5">
        <f>'Methods and calculation'!CZ5/MAX('Methods and calculation'!$B5:$DG5)</f>
        <v>0.62343096234309625</v>
      </c>
      <c r="DA5">
        <f>'Methods and calculation'!DA5/MAX('Methods and calculation'!$B5:$DG5)</f>
        <v>0.47280334728033474</v>
      </c>
      <c r="DB5">
        <f>'Methods and calculation'!DB5/MAX('Methods and calculation'!$B5:$DG5)</f>
        <v>0.49163179916317989</v>
      </c>
      <c r="DC5">
        <f>'Methods and calculation'!DC5/MAX('Methods and calculation'!$B5:$DG5)</f>
        <v>8.368200836820083E-3</v>
      </c>
      <c r="DD5">
        <f>'Methods and calculation'!DD5/MAX('Methods and calculation'!$B5:$DG5)</f>
        <v>1</v>
      </c>
      <c r="DE5">
        <f>'Methods and calculation'!DE5/MAX('Methods and calculation'!$B5:$DG5)</f>
        <v>0.36401673640167365</v>
      </c>
      <c r="DF5">
        <f>'Methods and calculation'!DF5/MAX('Methods and calculation'!$B5:$DG5)</f>
        <v>0.94351464435146448</v>
      </c>
      <c r="DG5">
        <f>'Methods and calculation'!DG5/MAX('Methods and calculation'!$B5:$DG5)</f>
        <v>0.61715481171548114</v>
      </c>
    </row>
    <row r="6" spans="1:111" x14ac:dyDescent="0.35">
      <c r="A6" t="s">
        <v>115</v>
      </c>
      <c r="B6">
        <f>'Methods and calculation'!B6/MAX('Methods and calculation'!$B6:$DG6)</f>
        <v>0.78607467204843595</v>
      </c>
      <c r="C6">
        <f>'Methods and calculation'!C6/MAX('Methods and calculation'!$B6:$DG6)</f>
        <v>0.53683148335015141</v>
      </c>
      <c r="D6">
        <f>'Methods and calculation'!D6/MAX('Methods and calculation'!$B6:$DG6)</f>
        <v>8.6781029263370335E-2</v>
      </c>
      <c r="E6">
        <f>'Methods and calculation'!E6/MAX('Methods and calculation'!$B6:$DG6)</f>
        <v>0.29263370332996974</v>
      </c>
      <c r="F6">
        <f>'Methods and calculation'!F6/MAX('Methods and calculation'!$B6:$DG6)</f>
        <v>0.53884964682139258</v>
      </c>
      <c r="G6">
        <f>'Methods and calculation'!G6/MAX('Methods and calculation'!$B6:$DG6)</f>
        <v>0.50958627648839561</v>
      </c>
      <c r="H6">
        <f>'Methods and calculation'!H6/MAX('Methods and calculation'!$B6:$DG6)</f>
        <v>0.25126135216952572</v>
      </c>
      <c r="I6">
        <f>'Methods and calculation'!I6/MAX('Methods and calculation'!$B6:$DG6)</f>
        <v>0.50756811301715443</v>
      </c>
      <c r="J6">
        <f>'Methods and calculation'!J6/MAX('Methods and calculation'!$B6:$DG6)</f>
        <v>1</v>
      </c>
      <c r="K6">
        <f>'Methods and calculation'!K6/MAX('Methods and calculation'!$B6:$DG6)</f>
        <v>0.71140262361251261</v>
      </c>
      <c r="L6">
        <f>'Methods and calculation'!L6/MAX('Methods and calculation'!$B6:$DG6)</f>
        <v>0.36024217961654892</v>
      </c>
      <c r="M6">
        <f>'Methods and calculation'!M6/MAX('Methods and calculation'!$B6:$DG6)</f>
        <v>0.11301715438950555</v>
      </c>
      <c r="N6">
        <f>'Methods and calculation'!N6/MAX('Methods and calculation'!$B6:$DG6)</f>
        <v>0.93541876892028253</v>
      </c>
      <c r="O6">
        <f>'Methods and calculation'!O6/MAX('Methods and calculation'!$B6:$DG6)</f>
        <v>0.58728557013118066</v>
      </c>
      <c r="P6">
        <f>'Methods and calculation'!P6/MAX('Methods and calculation'!$B6:$DG6)</f>
        <v>0.75277497477295663</v>
      </c>
      <c r="Q6">
        <f>'Methods and calculation'!Q6/MAX('Methods and calculation'!$B6:$DG6)</f>
        <v>0.68314833501513628</v>
      </c>
      <c r="R6">
        <f>'Methods and calculation'!R6/MAX('Methods and calculation'!$B6:$DG6)</f>
        <v>0.40867810292633705</v>
      </c>
      <c r="S6">
        <f>'Methods and calculation'!S6/MAX('Methods and calculation'!$B6:$DG6)</f>
        <v>0.76488395560040368</v>
      </c>
      <c r="T6">
        <f>'Methods and calculation'!T6/MAX('Methods and calculation'!$B6:$DG6)</f>
        <v>0.41574167507568111</v>
      </c>
      <c r="U6">
        <f>'Methods and calculation'!U6/MAX('Methods and calculation'!$B6:$DG6)</f>
        <v>0.89808274470232086</v>
      </c>
      <c r="V6">
        <f>'Methods and calculation'!V6/MAX('Methods and calculation'!$B6:$DG6)</f>
        <v>0.95257315842583246</v>
      </c>
      <c r="W6">
        <f>'Methods and calculation'!W6/MAX('Methods and calculation'!$B6:$DG6)</f>
        <v>0.8254288597376388</v>
      </c>
      <c r="X6">
        <f>'Methods and calculation'!X6/MAX('Methods and calculation'!$B6:$DG6)</f>
        <v>0.2956609485368315</v>
      </c>
      <c r="Y6">
        <f>'Methods and calculation'!Y6/MAX('Methods and calculation'!$B6:$DG6)</f>
        <v>0.58022199798183649</v>
      </c>
      <c r="Z6">
        <f>'Methods and calculation'!Z6/MAX('Methods and calculation'!$B6:$DG6)</f>
        <v>1.0090817356205853E-2</v>
      </c>
      <c r="AA6">
        <f>'Methods and calculation'!AA6/MAX('Methods and calculation'!$B6:$DG6)</f>
        <v>0.29667003027245209</v>
      </c>
      <c r="AB6">
        <f>'Methods and calculation'!AB6/MAX('Methods and calculation'!$B6:$DG6)</f>
        <v>0.59838546922300706</v>
      </c>
      <c r="AC6">
        <f>'Methods and calculation'!AC6/MAX('Methods and calculation'!$B6:$DG6)</f>
        <v>0.38345105953582242</v>
      </c>
      <c r="AD6">
        <f>'Methods and calculation'!AD6/MAX('Methods and calculation'!$B6:$DG6)</f>
        <v>0.13420787083753785</v>
      </c>
      <c r="AE6">
        <f>'Methods and calculation'!AE6/MAX('Methods and calculation'!$B6:$DG6)</f>
        <v>0.89404641775983851</v>
      </c>
      <c r="AF6">
        <f>'Methods and calculation'!AF6/MAX('Methods and calculation'!$B6:$DG6)</f>
        <v>0.9646821392532795</v>
      </c>
      <c r="AG6">
        <f>'Methods and calculation'!AG6/MAX('Methods and calculation'!$B6:$DG6)</f>
        <v>0.89404641775983851</v>
      </c>
      <c r="AH6">
        <f>'Methods and calculation'!AH6/MAX('Methods and calculation'!$B6:$DG6)</f>
        <v>0.51059535822401614</v>
      </c>
      <c r="AI6">
        <f>'Methods and calculation'!AI6/MAX('Methods and calculation'!$B6:$DG6)</f>
        <v>0.58627648839556001</v>
      </c>
      <c r="AJ6">
        <f>'Methods and calculation'!AJ6/MAX('Methods and calculation'!$B6:$DG6)</f>
        <v>0.56306760847628656</v>
      </c>
      <c r="AK6">
        <f>'Methods and calculation'!AK6/MAX('Methods and calculation'!$B6:$DG6)</f>
        <v>0.88698284561049445</v>
      </c>
      <c r="AL6">
        <f>'Methods and calculation'!AL6/MAX('Methods and calculation'!$B6:$DG6)</f>
        <v>0.32492431886982848</v>
      </c>
      <c r="AM6">
        <f>'Methods and calculation'!AM6/MAX('Methods and calculation'!$B6:$DG6)</f>
        <v>0.6185671039354188</v>
      </c>
      <c r="AN6">
        <f>'Methods and calculation'!AN6/MAX('Methods and calculation'!$B6:$DG6)</f>
        <v>0.6185671039354188</v>
      </c>
      <c r="AO6">
        <f>'Methods and calculation'!AO6/MAX('Methods and calculation'!$B6:$DG6)</f>
        <v>0.89606458123107968</v>
      </c>
      <c r="AP6">
        <f>'Methods and calculation'!AP6/MAX('Methods and calculation'!$B6:$DG6)</f>
        <v>0.59737638748738653</v>
      </c>
      <c r="AQ6">
        <f>'Methods and calculation'!AQ6/MAX('Methods and calculation'!$B6:$DG6)</f>
        <v>0.19374369323915236</v>
      </c>
      <c r="AR6">
        <f>'Methods and calculation'!AR6/MAX('Methods and calculation'!$B6:$DG6)</f>
        <v>0.25126135216952572</v>
      </c>
      <c r="AS6">
        <f>'Methods and calculation'!AS6/MAX('Methods and calculation'!$B6:$DG6)</f>
        <v>0.2956609485368315</v>
      </c>
      <c r="AT6">
        <f>'Methods and calculation'!AT6/MAX('Methods and calculation'!$B6:$DG6)</f>
        <v>0.28557013118062563</v>
      </c>
      <c r="AU6">
        <f>'Methods and calculation'!AU6/MAX('Methods and calculation'!$B6:$DG6)</f>
        <v>0.1574167507568113</v>
      </c>
      <c r="AV6">
        <f>'Methods and calculation'!AV6/MAX('Methods and calculation'!$B6:$DG6)</f>
        <v>0.33905146316851664</v>
      </c>
      <c r="AW6">
        <f>'Methods and calculation'!AW6/MAX('Methods and calculation'!$B6:$DG6)</f>
        <v>0.19374369323915236</v>
      </c>
      <c r="AX6">
        <f>'Methods and calculation'!AX6/MAX('Methods and calculation'!$B6:$DG6)</f>
        <v>0.22805247225025227</v>
      </c>
      <c r="AY6">
        <f>'Methods and calculation'!AY6/MAX('Methods and calculation'!$B6:$DG6)</f>
        <v>0.63975782038345108</v>
      </c>
      <c r="AZ6">
        <f>'Methods and calculation'!AZ6/MAX('Methods and calculation'!$B6:$DG6)</f>
        <v>0.71947527749747731</v>
      </c>
      <c r="BA6">
        <f>'Methods and calculation'!BA6/MAX('Methods and calculation'!$B6:$DG6)</f>
        <v>0.96972754793138249</v>
      </c>
      <c r="BB6">
        <f>'Methods and calculation'!BB6/MAX('Methods and calculation'!$B6:$DG6)</f>
        <v>4.1372351160443993E-2</v>
      </c>
      <c r="BC6">
        <f>'Methods and calculation'!BC6/MAX('Methods and calculation'!$B6:$DG6)</f>
        <v>0.99697275479313829</v>
      </c>
      <c r="BD6">
        <f>'Methods and calculation'!BD6/MAX('Methods and calculation'!$B6:$DG6)</f>
        <v>0.63370332996972756</v>
      </c>
      <c r="BE6">
        <f>'Methods and calculation'!BE6/MAX('Methods and calculation'!$B6:$DG6)</f>
        <v>0.28859737638748739</v>
      </c>
      <c r="BF6">
        <f>'Methods and calculation'!BF6/MAX('Methods and calculation'!$B6:$DG6)</f>
        <v>9.081735620585267E-2</v>
      </c>
      <c r="BG6">
        <f>'Methods and calculation'!BG6/MAX('Methods and calculation'!$B6:$DG6)</f>
        <v>0.35317860746720486</v>
      </c>
      <c r="BH6">
        <f>'Methods and calculation'!BH6/MAX('Methods and calculation'!$B6:$DG6)</f>
        <v>0.3148335015136226</v>
      </c>
      <c r="BI6">
        <f>'Methods and calculation'!BI6/MAX('Methods and calculation'!$B6:$DG6)</f>
        <v>0.12815338042381433</v>
      </c>
      <c r="BJ6">
        <f>'Methods and calculation'!BJ6/MAX('Methods and calculation'!$B6:$DG6)</f>
        <v>0.86982845610494453</v>
      </c>
      <c r="BK6">
        <f>'Methods and calculation'!BK6/MAX('Methods and calculation'!$B6:$DG6)</f>
        <v>0.43693239152371344</v>
      </c>
      <c r="BL6">
        <f>'Methods and calculation'!BL6/MAX('Methods and calculation'!$B6:$DG6)</f>
        <v>0.31382441977800202</v>
      </c>
      <c r="BM6">
        <f>'Methods and calculation'!BM6/MAX('Methods and calculation'!$B6:$DG6)</f>
        <v>0.80221997981836524</v>
      </c>
      <c r="BN6">
        <f>'Methods and calculation'!BN6/MAX('Methods and calculation'!$B6:$DG6)</f>
        <v>9.4853683148335019E-2</v>
      </c>
      <c r="BO6">
        <f>'Methods and calculation'!BO6/MAX('Methods and calculation'!$B6:$DG6)</f>
        <v>0.25126135216952572</v>
      </c>
      <c r="BP6">
        <f>'Methods and calculation'!BP6/MAX('Methods and calculation'!$B6:$DG6)</f>
        <v>0.2956609485368315</v>
      </c>
      <c r="BQ6">
        <f>'Methods and calculation'!BQ6/MAX('Methods and calculation'!$B6:$DG6)</f>
        <v>0.83249243188698285</v>
      </c>
      <c r="BR6">
        <f>'Methods and calculation'!BR6/MAX('Methods and calculation'!$B6:$DG6)</f>
        <v>0.99495459132189712</v>
      </c>
      <c r="BS6">
        <f>'Methods and calculation'!BS6/MAX('Methods and calculation'!$B6:$DG6)</f>
        <v>0.36326942482341068</v>
      </c>
      <c r="BT6">
        <f>'Methods and calculation'!BT6/MAX('Methods and calculation'!$B6:$DG6)</f>
        <v>0.59535822401614535</v>
      </c>
      <c r="BU6">
        <f>'Methods and calculation'!BU6/MAX('Methods and calculation'!$B6:$DG6)</f>
        <v>0.43895055499495461</v>
      </c>
      <c r="BV6">
        <f>'Methods and calculation'!BV6/MAX('Methods and calculation'!$B6:$DG6)</f>
        <v>0.71947527749747731</v>
      </c>
      <c r="BW6">
        <f>'Methods and calculation'!BW6/MAX('Methods and calculation'!$B6:$DG6)</f>
        <v>4.0363269424823413E-2</v>
      </c>
      <c r="BX6">
        <f>'Methods and calculation'!BX6/MAX('Methods and calculation'!$B6:$DG6)</f>
        <v>0.88900100908173563</v>
      </c>
      <c r="BY6">
        <f>'Methods and calculation'!BY6/MAX('Methods and calculation'!$B6:$DG6)</f>
        <v>0.95055499495459128</v>
      </c>
      <c r="BZ6">
        <f>'Methods and calculation'!BZ6/MAX('Methods and calculation'!$B6:$DG6)</f>
        <v>0.9182643794147326</v>
      </c>
      <c r="CA6">
        <f>'Methods and calculation'!CA6/MAX('Methods and calculation'!$B6:$DG6)</f>
        <v>0.66902119071644806</v>
      </c>
      <c r="CB6">
        <f>'Methods and calculation'!CB6/MAX('Methods and calculation'!$B6:$DG6)</f>
        <v>0.82240161453077698</v>
      </c>
      <c r="CC6">
        <f>'Methods and calculation'!CC6/MAX('Methods and calculation'!$B6:$DG6)</f>
        <v>0.52774974772956607</v>
      </c>
      <c r="CD6">
        <f>'Methods and calculation'!CD6/MAX('Methods and calculation'!$B6:$DG6)</f>
        <v>0.90918264379414737</v>
      </c>
      <c r="CE6">
        <f>'Methods and calculation'!CE6/MAX('Methods and calculation'!$B6:$DG6)</f>
        <v>0.50454086781029261</v>
      </c>
      <c r="CF6">
        <f>'Methods and calculation'!CF6/MAX('Methods and calculation'!$B6:$DG6)</f>
        <v>0.64278506559031279</v>
      </c>
      <c r="CG6">
        <f>'Methods and calculation'!CG6/MAX('Methods and calculation'!$B6:$DG6)</f>
        <v>0.9808274470232089</v>
      </c>
      <c r="CH6">
        <f>'Methods and calculation'!CH6/MAX('Methods and calculation'!$B6:$DG6)</f>
        <v>0.29667003027245209</v>
      </c>
      <c r="CI6">
        <f>'Methods and calculation'!CI6/MAX('Methods and calculation'!$B6:$DG6)</f>
        <v>0.82240161453077698</v>
      </c>
      <c r="CJ6">
        <f>'Methods and calculation'!CJ6/MAX('Methods and calculation'!$B6:$DG6)</f>
        <v>0.86781029263370335</v>
      </c>
      <c r="CK6">
        <f>'Methods and calculation'!CK6/MAX('Methods and calculation'!$B6:$DG6)</f>
        <v>0.74268415741675076</v>
      </c>
      <c r="CL6">
        <f>'Methods and calculation'!CL6/MAX('Methods and calculation'!$B6:$DG6)</f>
        <v>0.9374369323915237</v>
      </c>
      <c r="CM6">
        <f>'Methods and calculation'!CM6/MAX('Methods and calculation'!$B6:$DG6)</f>
        <v>0.65590312815338048</v>
      </c>
      <c r="CN6">
        <f>'Methods and calculation'!CN6/MAX('Methods and calculation'!$B6:$DG6)</f>
        <v>0.39959636730575177</v>
      </c>
      <c r="CO6">
        <f>'Methods and calculation'!CO6/MAX('Methods and calculation'!$B6:$DG6)</f>
        <v>0.54591321897073664</v>
      </c>
      <c r="CP6">
        <f>'Methods and calculation'!CP6/MAX('Methods and calculation'!$B6:$DG6)</f>
        <v>0.47527749747729564</v>
      </c>
      <c r="CQ6">
        <f>'Methods and calculation'!CQ6/MAX('Methods and calculation'!$B6:$DG6)</f>
        <v>0.37336024217961655</v>
      </c>
      <c r="CR6">
        <f>'Methods and calculation'!CR6/MAX('Methods and calculation'!$B6:$DG6)</f>
        <v>0.73360242179616553</v>
      </c>
      <c r="CS6">
        <f>'Methods and calculation'!CS6/MAX('Methods and calculation'!$B6:$DG6)</f>
        <v>0.64480322906155396</v>
      </c>
      <c r="CT6">
        <f>'Methods and calculation'!CT6/MAX('Methods and calculation'!$B6:$DG6)</f>
        <v>0.63168516649848638</v>
      </c>
      <c r="CU6">
        <f>'Methods and calculation'!CU6/MAX('Methods and calculation'!$B6:$DG6)</f>
        <v>0.96367305751765897</v>
      </c>
      <c r="CV6">
        <f>'Methods and calculation'!CV6/MAX('Methods and calculation'!$B6:$DG6)</f>
        <v>3.1281533804238142E-2</v>
      </c>
      <c r="CW6">
        <f>'Methods and calculation'!CW6/MAX('Methods and calculation'!$B6:$DG6)</f>
        <v>0.25227043390514631</v>
      </c>
      <c r="CX6">
        <f>'Methods and calculation'!CX6/MAX('Methods and calculation'!$B6:$DG6)</f>
        <v>0.91927346115035313</v>
      </c>
      <c r="CY6">
        <f>'Methods and calculation'!CY6/MAX('Methods and calculation'!$B6:$DG6)</f>
        <v>0.69424823410696268</v>
      </c>
      <c r="CZ6">
        <f>'Methods and calculation'!CZ6/MAX('Methods and calculation'!$B6:$DG6)</f>
        <v>0.68314833501513628</v>
      </c>
      <c r="DA6">
        <f>'Methods and calculation'!DA6/MAX('Methods and calculation'!$B6:$DG6)</f>
        <v>0.79515640766902118</v>
      </c>
      <c r="DB6">
        <f>'Methods and calculation'!DB6/MAX('Methods and calculation'!$B6:$DG6)</f>
        <v>0.65590312815338048</v>
      </c>
      <c r="DC6">
        <f>'Methods and calculation'!DC6/MAX('Methods and calculation'!$B6:$DG6)</f>
        <v>0.74066599394550958</v>
      </c>
      <c r="DD6">
        <f>'Methods and calculation'!DD6/MAX('Methods and calculation'!$B6:$DG6)</f>
        <v>0.54793138244197781</v>
      </c>
      <c r="DE6">
        <f>'Methods and calculation'!DE6/MAX('Methods and calculation'!$B6:$DG6)</f>
        <v>0.34006054490413723</v>
      </c>
      <c r="DF6">
        <f>'Methods and calculation'!DF6/MAX('Methods and calculation'!$B6:$DG6)</f>
        <v>0.51866801210898084</v>
      </c>
      <c r="DG6">
        <f>'Methods and calculation'!DG6/MAX('Methods and calculation'!$B6:$DG6)</f>
        <v>0.12714429868819374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D5D52-AD6B-4ACE-B629-205D205C9F75}">
  <dimension ref="B3:I8"/>
  <sheetViews>
    <sheetView workbookViewId="0">
      <selection activeCell="N30" sqref="N30"/>
    </sheetView>
  </sheetViews>
  <sheetFormatPr defaultRowHeight="14.5" x14ac:dyDescent="0.35"/>
  <cols>
    <col min="2" max="2" width="5.1796875" bestFit="1" customWidth="1"/>
    <col min="3" max="8" width="10.1796875" customWidth="1"/>
    <col min="9" max="9" width="22.1796875" bestFit="1" customWidth="1"/>
  </cols>
  <sheetData>
    <row r="3" spans="2:9" x14ac:dyDescent="0.35">
      <c r="B3" s="12" t="s">
        <v>0</v>
      </c>
      <c r="C3" s="12" t="s">
        <v>140</v>
      </c>
      <c r="D3" s="12" t="s">
        <v>160</v>
      </c>
      <c r="E3" s="12" t="s">
        <v>117</v>
      </c>
      <c r="F3" s="12" t="s">
        <v>161</v>
      </c>
      <c r="G3" s="12" t="s">
        <v>141</v>
      </c>
      <c r="H3" s="12" t="s">
        <v>162</v>
      </c>
      <c r="I3" s="14" t="s">
        <v>163</v>
      </c>
    </row>
    <row r="4" spans="2:9" x14ac:dyDescent="0.35">
      <c r="B4" s="9" t="s">
        <v>111</v>
      </c>
      <c r="C4" s="10">
        <v>3.5116279069767442</v>
      </c>
      <c r="D4" s="10">
        <v>3.2916412814989569</v>
      </c>
      <c r="E4" s="10">
        <v>3.4651162790697669</v>
      </c>
      <c r="F4" s="10">
        <v>2.8255855835672805</v>
      </c>
      <c r="G4" s="10">
        <v>3.0374418604651163</v>
      </c>
      <c r="H4" s="10">
        <v>0.30697674418604648</v>
      </c>
      <c r="I4" s="15" t="s">
        <v>162</v>
      </c>
    </row>
    <row r="5" spans="2:9" x14ac:dyDescent="0.35">
      <c r="B5" s="9" t="s">
        <v>112</v>
      </c>
      <c r="C5" s="10">
        <v>3.0178571428571428</v>
      </c>
      <c r="D5" s="10">
        <v>2.8714837028571427</v>
      </c>
      <c r="E5" s="10">
        <v>2.8214285714285721</v>
      </c>
      <c r="F5" s="10">
        <v>3.4702454444334756</v>
      </c>
      <c r="G5" s="10">
        <v>2.5367857142857142</v>
      </c>
      <c r="H5" s="10">
        <v>0.11696428571428581</v>
      </c>
      <c r="I5" s="15" t="s">
        <v>162</v>
      </c>
    </row>
    <row r="6" spans="2:9" x14ac:dyDescent="0.35">
      <c r="B6" s="9" t="s">
        <v>113</v>
      </c>
      <c r="C6" s="10">
        <v>4.6882716049382713</v>
      </c>
      <c r="D6" s="10">
        <v>3.8655063909758272</v>
      </c>
      <c r="E6" s="10">
        <v>2.3364197530864201</v>
      </c>
      <c r="F6" s="10">
        <v>2.0039233519928192</v>
      </c>
      <c r="G6" s="10">
        <v>2.7169032921810703</v>
      </c>
      <c r="H6" s="10">
        <v>2.8877572016460906</v>
      </c>
      <c r="I6" s="15" t="s">
        <v>161</v>
      </c>
    </row>
    <row r="7" spans="2:9" x14ac:dyDescent="0.35">
      <c r="B7" s="9" t="s">
        <v>114</v>
      </c>
      <c r="C7" s="10">
        <v>3.2677824267782429</v>
      </c>
      <c r="D7" s="10">
        <v>2.399430237862449</v>
      </c>
      <c r="E7" s="10">
        <v>2.1380753138075317</v>
      </c>
      <c r="F7" s="10">
        <v>2.0203611425979764</v>
      </c>
      <c r="G7" s="10">
        <v>2.2324058577405861</v>
      </c>
      <c r="H7" s="10">
        <v>2.2326359832635982</v>
      </c>
      <c r="I7" s="15" t="s">
        <v>161</v>
      </c>
    </row>
    <row r="8" spans="2:9" x14ac:dyDescent="0.35">
      <c r="B8" s="11" t="s">
        <v>115</v>
      </c>
      <c r="C8" s="13">
        <v>3.7497477295660948</v>
      </c>
      <c r="D8" s="13">
        <v>1.9675583181195646</v>
      </c>
      <c r="E8" s="13">
        <v>1.6427850655903127</v>
      </c>
      <c r="F8" s="13">
        <v>0.9845434882645554</v>
      </c>
      <c r="G8" s="13">
        <v>1.8409687184661956</v>
      </c>
      <c r="H8" s="13">
        <v>1.8267406659939454</v>
      </c>
      <c r="I8" s="16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Methods and calculation</vt:lpstr>
      <vt:lpstr>Summary and comparion</vt:lpstr>
      <vt:lpstr>Normalised solutions</vt:lpstr>
      <vt:lpstr>Final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Zoltán</dc:creator>
  <cp:lastModifiedBy>Veres Péter</cp:lastModifiedBy>
  <dcterms:created xsi:type="dcterms:W3CDTF">2015-06-05T18:19:34Z</dcterms:created>
  <dcterms:modified xsi:type="dcterms:W3CDTF">2026-01-19T10:38:22Z</dcterms:modified>
</cp:coreProperties>
</file>